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_QC\Intern-QC\documents\"/>
    </mc:Choice>
  </mc:AlternateContent>
  <xr:revisionPtr revIDLastSave="0" documentId="13_ncr:1_{CCCFCA56-13BF-4DB3-B2E9-E9A6B505529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EADME" sheetId="1" r:id="rId1"/>
    <sheet name="Test Scenarios" sheetId="2" r:id="rId2"/>
    <sheet name="_Options" sheetId="3" state="veryHidden" r:id="rId3"/>
    <sheet name="Test Cases" sheetId="4" r:id="rId4"/>
    <sheet name="Bug Report" sheetId="5" r:id="rId5"/>
    <sheet name="Summary" sheetId="6" r:id="rId6"/>
  </sheets>
  <definedNames>
    <definedName name="StatusOptions">_Options!$A$1:$A$4</definedName>
  </definedNames>
  <calcPr calcId="191029" forceFullCalc="1"/>
</workbook>
</file>

<file path=xl/calcChain.xml><?xml version="1.0" encoding="utf-8"?>
<calcChain xmlns="http://schemas.openxmlformats.org/spreadsheetml/2006/main">
  <c r="B7" i="6" l="1"/>
  <c r="B6" i="6"/>
  <c r="B5" i="6"/>
  <c r="B4" i="6"/>
  <c r="B8" i="6" s="1"/>
</calcChain>
</file>

<file path=xl/sharedStrings.xml><?xml version="1.0" encoding="utf-8"?>
<sst xmlns="http://schemas.openxmlformats.org/spreadsheetml/2006/main" count="489" uniqueCount="256">
  <si>
    <t>QC Test Cases Workbook</t>
  </si>
  <si>
    <t>Cách dùng</t>
  </si>
  <si>
    <t>1. Điền thông tin website ở sheet README.</t>
  </si>
  <si>
    <t>2. Liệt kê kịch bản ở sheet Test Scenarios.</t>
  </si>
  <si>
    <t>3. Viết test case chi tiết ở sheet Test Cases.</t>
  </si>
  <si>
    <t>4. Sau khi test, cập nhật Actual Result và Status.</t>
  </si>
  <si>
    <t>5. Nếu Status = Fail, ghi lỗi ở sheet Bug Report.</t>
  </si>
  <si>
    <t>Website</t>
  </si>
  <si>
    <t>Student Attendance System</t>
  </si>
  <si>
    <t>Link Website</t>
  </si>
  <si>
    <t>https://sasdau.vercel.app/</t>
  </si>
  <si>
    <t>Người thực hiện</t>
  </si>
  <si>
    <t>Đàm Phạm Tiến</t>
  </si>
  <si>
    <t>Ngày lập</t>
  </si>
  <si>
    <t>Test Data dùng chung</t>
  </si>
  <si>
    <t>Tài khoản hợp lệ: admin/Admin@123, teacher/Teacher@123, student/Student@123</t>
  </si>
  <si>
    <t>Tài khoản không hợp lệ: username đúng nhưng password sai; username không tồn tại; bỏ trống username/password</t>
  </si>
  <si>
    <t>Dữ liệu lớp học: D21CQCN01, D21CQCN02, D22CQCN01; tên lớp tương ứng Công nghệ thông tin/DevOps</t>
  </si>
  <si>
    <t>Dữ liệu sinh viên: SV001 - Nguyen Van An, SV002 - Tran Thi Binh, SV003 - Le Minh Chau; thêm mới SV100 - Nguyen Van A</t>
  </si>
  <si>
    <t>File import sinh viên: docs/import-samples/d21cqcn01.csv, d21cqcn02.csv, d22cqcn01.csv</t>
  </si>
  <si>
    <t>Dữ liệu điểm danh: ngày hiện tại và một ngày trong quá khứ; trạng thái Có mặt, Vắng, Đi trễ, Có phép; lý do vắng nếu có</t>
  </si>
  <si>
    <t>Dữ liệu thời khóa biểu: lớp D21CQCN01/D21CQCN02, giáo viên teacher, thứ trong tuần 1-7, giờ bắt đầu/kết thúc, phòng học, môn học</t>
  </si>
  <si>
    <t>Dữ liệu báo cáo: khoảng ngày từ đầu tháng đến ngày hiện tại, lọc theo lớp, lọc theo mã sinh viên, export file attendance-report.csv</t>
  </si>
  <si>
    <t>Test Scenarios</t>
  </si>
  <si>
    <t>Scenario ID</t>
  </si>
  <si>
    <t>Function</t>
  </si>
  <si>
    <t>Test Scenario</t>
  </si>
  <si>
    <t>Priority</t>
  </si>
  <si>
    <t>Requirement/Note</t>
  </si>
  <si>
    <t>TS_LOGIN_001</t>
  </si>
  <si>
    <t>Login</t>
  </si>
  <si>
    <t>Kiểm tra đăng nhập thành công theo từng vai trò</t>
  </si>
  <si>
    <t>High</t>
  </si>
  <si>
    <t>Admin, teacher, student</t>
  </si>
  <si>
    <t>TS_LOGIN_002</t>
  </si>
  <si>
    <t>Kiểm tra đăng nhập thất bại với dữ liệu không hợp lệ</t>
  </si>
  <si>
    <t>Sai mật khẩu hoặc bỏ trống</t>
  </si>
  <si>
    <t>TS_LOGOUT_001</t>
  </si>
  <si>
    <t>Logout</t>
  </si>
  <si>
    <t>Kiểm tra đăng xuất khỏi hệ thống</t>
  </si>
  <si>
    <t>Medium</t>
  </si>
  <si>
    <t>Xóa session</t>
  </si>
  <si>
    <t>TS_ROLE_001</t>
  </si>
  <si>
    <t>Authorization</t>
  </si>
  <si>
    <t>Kiểm tra phân quyền admin, teacher, student</t>
  </si>
  <si>
    <t>Menu và thao tác theo vai trò</t>
  </si>
  <si>
    <t>TS_CLASS_001</t>
  </si>
  <si>
    <t>Classes</t>
  </si>
  <si>
    <t>Kiểm tra admin quản lý lớp học</t>
  </si>
  <si>
    <t>Thêm, sửa, xóa lớp</t>
  </si>
  <si>
    <t>TS_STUDENT_001</t>
  </si>
  <si>
    <t>Students</t>
  </si>
  <si>
    <t>Kiểm tra admin quản lý sinh viên</t>
  </si>
  <si>
    <t>Thêm, sửa, xóa sinh viên</t>
  </si>
  <si>
    <t>TS_IMPORT_001</t>
  </si>
  <si>
    <t>Import Students</t>
  </si>
  <si>
    <t>Kiểm tra import danh sách sinh viên</t>
  </si>
  <si>
    <t>File hợp lệ và thiếu dữ liệu</t>
  </si>
  <si>
    <t>TS_ATT_001</t>
  </si>
  <si>
    <t>Attendance</t>
  </si>
  <si>
    <t>Kiểm tra điểm danh và lọc điểm danh</t>
  </si>
  <si>
    <t>4 trạng thái và filter</t>
  </si>
  <si>
    <t>TS_ATT_LOCK_001</t>
  </si>
  <si>
    <t>Attendance Lock</t>
  </si>
  <si>
    <t>Kiểm tra khóa/mở khóa điểm danh</t>
  </si>
  <si>
    <t>Theo lớp/ngày</t>
  </si>
  <si>
    <t>TS_TIMETABLE_001</t>
  </si>
  <si>
    <t>Timetable</t>
  </si>
  <si>
    <t>Kiểm tra thời khóa biểu</t>
  </si>
  <si>
    <t>Xem lịch và mở điểm danh</t>
  </si>
  <si>
    <t>TS_REPORT_001</t>
  </si>
  <si>
    <t>Reports</t>
  </si>
  <si>
    <t>Kiểm tra thống kê và export CSV</t>
  </si>
  <si>
    <t>Lọc và tải file</t>
  </si>
  <si>
    <t>TS_REGISTER_001</t>
  </si>
  <si>
    <t>Register</t>
  </si>
  <si>
    <t>Kiểm tra đăng ký tài khoản hợp lệ</t>
  </si>
  <si>
    <t>Teacher, student đăng ký mới</t>
  </si>
  <si>
    <t>TS_REGISTER_002</t>
  </si>
  <si>
    <t>Kiểm tra đăng ký thất bại với dữ liệu không hợp lệ</t>
  </si>
  <si>
    <t>Trùng username, password ngắn, thiếu dữ liệu</t>
  </si>
  <si>
    <t>TS_SCHEDULE_001</t>
  </si>
  <si>
    <t>Schedule Assignment</t>
  </si>
  <si>
    <t>Kiểm tra admin phân công tiết học</t>
  </si>
  <si>
    <t>Thêm, sửa, xóa phân công tiết</t>
  </si>
  <si>
    <t>Pass</t>
  </si>
  <si>
    <t>Fail</t>
  </si>
  <si>
    <t>Blocked</t>
  </si>
  <si>
    <t>Not Run</t>
  </si>
  <si>
    <t>Test Cases</t>
  </si>
  <si>
    <t>Test Case ID</t>
  </si>
  <si>
    <t>Preconditions</t>
  </si>
  <si>
    <t>Test Steps</t>
  </si>
  <si>
    <t>Test Data</t>
  </si>
  <si>
    <t>Expected Result</t>
  </si>
  <si>
    <t>Actual Result</t>
  </si>
  <si>
    <t>Status</t>
  </si>
  <si>
    <t>Tester</t>
  </si>
  <si>
    <t>Note</t>
  </si>
  <si>
    <t>TC_LOGIN_001</t>
  </si>
  <si>
    <t>Website truy cập được</t>
  </si>
  <si>
    <t>1. Mở trang Login
2. Nhập username admin
3. Nhập password
4. Click Login</t>
  </si>
  <si>
    <t>admin/Admin@123</t>
  </si>
  <si>
    <t>Đăng nhập thành công và hiển thị dashboard admin</t>
  </si>
  <si>
    <t>TC_LOGIN_002</t>
  </si>
  <si>
    <t>1. Mở trang Login
2. Nhập username teacher
3. Nhập password
4. Click Login</t>
  </si>
  <si>
    <t>teacher/Teacher@123</t>
  </si>
  <si>
    <t>Đăng nhập thành công và hiển thị dashboard giảng viên</t>
  </si>
  <si>
    <t>TC_LOGIN_003</t>
  </si>
  <si>
    <t>1. Mở trang Login
2. Nhập username student
3. Nhập password
4. Click Login</t>
  </si>
  <si>
    <t>student/Student@123</t>
  </si>
  <si>
    <t>Đăng nhập thành công và hiển thị dashboard sinh viên</t>
  </si>
  <si>
    <t>TC_LOGIN_004</t>
  </si>
  <si>
    <t>1. Mở trang Login
2. Nhập username đúng
3. Nhập password sai
4. Click Login</t>
  </si>
  <si>
    <t>admin/sai-password</t>
  </si>
  <si>
    <t>Hiển thị thông báo lỗi, không vào dashboard</t>
  </si>
  <si>
    <t>TC_LOGIN_005</t>
  </si>
  <si>
    <t>1. Mở trang Login
2. Bỏ trống username hoặc password
3. Click Login</t>
  </si>
  <si>
    <t>username/password trống</t>
  </si>
  <si>
    <t>Hiển thị lỗi validation hoặc không cho đăng nhập</t>
  </si>
  <si>
    <t>TC_LOGOUT_001</t>
  </si>
  <si>
    <t>Đã đăng nhập</t>
  </si>
  <si>
    <t>1. Click Đăng xuất</t>
  </si>
  <si>
    <t>Session bị xóa và quay về màn hình đăng nhập</t>
  </si>
  <si>
    <t>TC_ROLE_001</t>
  </si>
  <si>
    <t>Đăng nhập admin</t>
  </si>
  <si>
    <t>1. Đăng nhập admin
2. Quan sát menu
3. Mở các tab quản trị</t>
  </si>
  <si>
    <t>Admin thấy các tab quản lý điểm danh, sinh viên, lớp, phân công tiết, báo cáo</t>
  </si>
  <si>
    <t>TC_ROLE_002</t>
  </si>
  <si>
    <t>Đăng nhập teacher</t>
  </si>
  <si>
    <t>1. Đăng nhập teacher
2. Quan sát menu
3. Thử tìm tab lớp/phân công tiết</t>
  </si>
  <si>
    <t>Teacher không thấy chức năng quản lý lớp/phân công tiết của admin</t>
  </si>
  <si>
    <t>TC_ROLE_003</t>
  </si>
  <si>
    <t>Đăng nhập student</t>
  </si>
  <si>
    <t>1. Đăng nhập student
2. Quan sát menu
3. Mở lịch sử/báo cáo</t>
  </si>
  <si>
    <t>Student chỉ xem lịch học, lịch sử điểm danh và thống kê cá nhân</t>
  </si>
  <si>
    <t>TC_CLASS_001</t>
  </si>
  <si>
    <t>1. Mở tab Lớp
2. Nhập mã lớp và tên lớp
3. Click thêm</t>
  </si>
  <si>
    <t>D22CQCN01</t>
  </si>
  <si>
    <t>Lớp mới xuất hiện trong danh sách</t>
  </si>
  <si>
    <t>TC_CLASS_002</t>
  </si>
  <si>
    <t>Đăng nhập admin, đã có lớp</t>
  </si>
  <si>
    <t>1. Mở tab Lớp
2. Chọn lớp cần sửa
3. Cập nhật tên lớp
4. Lưu</t>
  </si>
  <si>
    <t>D22CQCN01 - DevOps</t>
  </si>
  <si>
    <t>Thông tin lớp được cập nhật đúng</t>
  </si>
  <si>
    <t>TC_CLASS_003</t>
  </si>
  <si>
    <t>Đăng nhập admin, đã có lớp test</t>
  </si>
  <si>
    <t>1. Mở tab Lớp
2. Chọn lớp test
3. Click xóa/xác nhận</t>
  </si>
  <si>
    <t>Lớp bị xóa khỏi danh sách nếu hợp lệ</t>
  </si>
  <si>
    <t>TC_STUDENT_001</t>
  </si>
  <si>
    <t>1. Mở tab Sinh viên
2. Chọn lớp
3. Nhập MSSV, họ tên
4. Click thêm</t>
  </si>
  <si>
    <t>SV100 - Nguyen Van A - D22CQCN01</t>
  </si>
  <si>
    <t>Sinh viên được thêm vào đúng lớp</t>
  </si>
  <si>
    <t>TC_STUDENT_002</t>
  </si>
  <si>
    <t>Đăng nhập admin, đã có sinh viên</t>
  </si>
  <si>
    <t>1. Mở tab Sinh viên
2. Chọn sinh viên
3. Sửa họ tên/lớp
4. Lưu</t>
  </si>
  <si>
    <t>SV100 - Nguyen Van A Updated</t>
  </si>
  <si>
    <t>Thông tin sinh viên được cập nhật đúng</t>
  </si>
  <si>
    <t>TC_STUDENT_003</t>
  </si>
  <si>
    <t>Đăng nhập admin, đã có sinh viên test</t>
  </si>
  <si>
    <t>1. Mở tab Sinh viên
2. Chọn sinh viên test
3. Click xóa/xác nhận</t>
  </si>
  <si>
    <t>SV100</t>
  </si>
  <si>
    <t>Sinh viên bị xóa khỏi danh sách</t>
  </si>
  <si>
    <t>TC_IMPORT_001</t>
  </si>
  <si>
    <t>Đăng nhập admin/teacher, đã chọn lớp</t>
  </si>
  <si>
    <t>1. Mở tab Sinh viên
2. Chọn lớp
3. Chọn file import hợp lệ
4. Click import</t>
  </si>
  <si>
    <t>docs/import-samples/d21cqcn01.csv</t>
  </si>
  <si>
    <t>Import thành công và hiển thị số sinh viên thêm/cập nhật</t>
  </si>
  <si>
    <t>TC_IMPORT_002</t>
  </si>
  <si>
    <t>Đăng nhập admin/teacher</t>
  </si>
  <si>
    <t>1. Mở tab Sinh viên
2. Không chọn lớp hoặc không chọn file
3. Click import</t>
  </si>
  <si>
    <t>Không chọn lớp/file</t>
  </si>
  <si>
    <t>Hiển thị thông báo yêu cầu chọn lớp/file, không import</t>
  </si>
  <si>
    <t>TC_ATT_001</t>
  </si>
  <si>
    <t>Đăng nhập teacher/admin, lớp có sinh viên</t>
  </si>
  <si>
    <t>1. Mở tab Điểm danh
2. Chọn lớp/ngày
3. Chọn trạng thái cho sinh viên
4. Click Lưu</t>
  </si>
  <si>
    <t>D21CQCN01, Có mặt/Vắng/Đi trễ/Có phép</t>
  </si>
  <si>
    <t>Trạng thái điểm danh được lưu thành công</t>
  </si>
  <si>
    <t>TC_ATT_002</t>
  </si>
  <si>
    <t>Đã có dữ liệu điểm danh</t>
  </si>
  <si>
    <t>1. Mở tab Điểm danh
2. Nhập bộ lọc trạng thái hoặc mã sinh viên
3. Click lọc</t>
  </si>
  <si>
    <t>status=Vắng hoặc studentCode=SV001</t>
  </si>
  <si>
    <t>Danh sách điểm danh hiển thị đúng theo bộ lọc</t>
  </si>
  <si>
    <t>TC_ATT_LOCK_001</t>
  </si>
  <si>
    <t>1. Mở tab Điểm danh
2. Chọn lớp/ngày
3. Click khóa điểm danh
4. Thử chỉnh sửa</t>
  </si>
  <si>
    <t>D21CQCN01, ngày hiện tại</t>
  </si>
  <si>
    <t>Sau khi khóa, không thể chỉnh sửa điểm danh cho tới khi mở khóa</t>
  </si>
  <si>
    <t>TC_REGISTER_001</t>
  </si>
  <si>
    <t>Website truy cập được, chưa đăng nhập</t>
  </si>
  <si>
    <t>1. Mở màn hình Login
2. Click Đăng ký ngay
3. Nhập họ tên, username mới và password hợp lệ
4. Chọn Giáo viên
5. Click Đăng ký ngay</t>
  </si>
  <si>
    <t>teacher_qc_&lt;ngay_test&gt;/Teacher@123</t>
  </si>
  <si>
    <t>Tài khoản teacher được tạo thành công và tự động đăng nhập vào dashboard giảng viên</t>
  </si>
  <si>
    <t>TC_REGISTER_002</t>
  </si>
  <si>
    <t>1. Mở màn hình Login
2. Click Đăng ký ngay
3. Nhập họ tên, username mới và password hợp lệ
4. Chọn Học sinh
5. Click Đăng ký ngay</t>
  </si>
  <si>
    <t>student_qc_&lt;ngay_test&gt;/Student@123</t>
  </si>
  <si>
    <t>Tài khoản student được tạo thành công và tự động đăng nhập vào dashboard sinh viên</t>
  </si>
  <si>
    <t>TC_REGISTER_003</t>
  </si>
  <si>
    <t>Website truy cập được, username đã tồn tại</t>
  </si>
  <si>
    <t>1. Mở màn hình Login
2. Click Đăng ký ngay
3. Nhập username đã tồn tại
4. Nhập họ tên và password hợp lệ
5. Click Đăng ký ngay</t>
  </si>
  <si>
    <t>admin/Admin@123 hoặc username đã tồn tại</t>
  </si>
  <si>
    <t>Hiển thị thông báo username đã tồn tại, không tạo tài khoản mới</t>
  </si>
  <si>
    <t>TC_REGISTER_004</t>
  </si>
  <si>
    <t>1. Mở màn hình Login
2. Click Đăng ký ngay
3. Nhập họ tên và username mới
4. Nhập password dưới 6 ký tự
5. Click Đăng ký ngay</t>
  </si>
  <si>
    <t>new_user/12345</t>
  </si>
  <si>
    <t>Hiển thị lỗi mật khẩu tối thiểu 6 ký tự, không tạo tài khoản mới</t>
  </si>
  <si>
    <t>TC_SCHEDULE_001</t>
  </si>
  <si>
    <t>Đăng nhập admin, đã có lớp và giáo viên</t>
  </si>
  <si>
    <t>1. Mở tab Phân công tiết
2. Chọn lớp học
3. Chọn giảng viên
4. Chọn thứ, giờ bắt đầu/kết thúc, môn học, phòng học
5. Click Thêm phân công</t>
  </si>
  <si>
    <t>D21CQCN01, teacher, Thứ 2, 07:00-09:00, DevOps, A101</t>
  </si>
  <si>
    <t>Phân công tiết học được thêm và hiển thị trong danh sách</t>
  </si>
  <si>
    <t>TC_SCHEDULE_002</t>
  </si>
  <si>
    <t>Đăng nhập admin, đã có phân công tiết</t>
  </si>
  <si>
    <t>1. Mở tab Phân công tiết
2. Chọn phân công cần sửa
3. Cập nhật giờ, phòng học hoặc môn học
4. Click Lưu sửa</t>
  </si>
  <si>
    <t>Cập nhật phòng A102 hoặc thời gian 09:00-11:00</t>
  </si>
  <si>
    <t>Thông tin phân công tiết được cập nhật đúng trong danh sách</t>
  </si>
  <si>
    <t>TC_SCHEDULE_003</t>
  </si>
  <si>
    <t>Đăng nhập admin, đã có phân công tiết test</t>
  </si>
  <si>
    <t>1. Mở tab Phân công tiết
2. Chọn phân công test
3. Click Xóa</t>
  </si>
  <si>
    <t>Phân công tiết vừa tạo ở TC_SCHEDULE_001</t>
  </si>
  <si>
    <t>Phân công tiết bị xóa khỏi danh sách</t>
  </si>
  <si>
    <t>TC_TIMETABLE_001</t>
  </si>
  <si>
    <t>Đăng nhập teacher/admin, đã có phân công tiết</t>
  </si>
  <si>
    <t>1. Mở tab Thời khóa biểu
2. Quan sát danh sách tiết theo ngày trong tuần
3. Click một tiết học</t>
  </si>
  <si>
    <t>teacher/Teacher@123, lớp D21CQCN01</t>
  </si>
  <si>
    <t>Thời khóa biểu hiển thị đúng và khi click tiết sẽ mở màn hình điểm danh của lớp/ngày tương ứng</t>
  </si>
  <si>
    <t>TC_TIMETABLE_002</t>
  </si>
  <si>
    <t>Đăng nhập student, student đã thuộc lớp có thời khóa biểu</t>
  </si>
  <si>
    <t>1. Mở tab Thời khóa biểu
2. Quan sát danh sách tiết học theo tuần
3. Click một tiết học</t>
  </si>
  <si>
    <t>Sinh viên xem được thời khóa biểu lớp và khi click tiết sẽ mở lịch sử điểm danh ngày tương ứng</t>
  </si>
  <si>
    <t>TC_REPORT_001</t>
  </si>
  <si>
    <t>Đăng nhập admin/teacher, đã có dữ liệu điểm danh</t>
  </si>
  <si>
    <t>1. Mở tab Báo cáo
2. Chọn lớp
3. Chọn khoảng ngày từ đầu tháng đến hiện tại
4. Click Xem</t>
  </si>
  <si>
    <t>D21CQCN01, from=đầu tháng, to=ngày hiện tại</t>
  </si>
  <si>
    <t>Bảng thống kê hiển thị đúng dữ liệu chuyên cần theo lớp và khoảng ngày</t>
  </si>
  <si>
    <t>TC_REPORT_002</t>
  </si>
  <si>
    <t>1. Mở tab Báo cáo
2. Chọn lớp
3. Nhập mã sinh viên vào bộ lọc MSSV
4. Click Xem</t>
  </si>
  <si>
    <t>studentCode=SV001</t>
  </si>
  <si>
    <t>Bảng thống kê chỉ hiển thị dữ liệu của sinh viên được lọc</t>
  </si>
  <si>
    <t>TC_REPORT_003</t>
  </si>
  <si>
    <t>Đăng nhập admin/teacher/student, đã có dữ liệu thống kê</t>
  </si>
  <si>
    <t>1. Mở tab Báo cáo
2. Chọn bộ lọc cần xuất
3. Click Xuất CSV
4. Kiểm tra file tải về</t>
  </si>
  <si>
    <t>attendance-report.csv</t>
  </si>
  <si>
    <t>File CSV được tải xuống và nội dung khớp với bộ lọc báo cáo</t>
  </si>
  <si>
    <t>Bug Report</t>
  </si>
  <si>
    <t>Bug ID</t>
  </si>
  <si>
    <t>Related TC ID</t>
  </si>
  <si>
    <t>Title</t>
  </si>
  <si>
    <t>Environment</t>
  </si>
  <si>
    <t>Steps to Reproduce</t>
  </si>
  <si>
    <t>Severity</t>
  </si>
  <si>
    <t>Attachment</t>
  </si>
  <si>
    <t>Test Summary</t>
  </si>
  <si>
    <t>Metric</t>
  </si>
  <si>
    <t>Value</t>
  </si>
  <si>
    <t>Total Test Cases</t>
  </si>
  <si>
    <t>Pass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</si>
</sst>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000%"/>
  </numFmts>
  <fonts count="4" x14ac:knownFonts="1">
    <font>
      <sz val="11"/>
      <color theme="1"/>
      <name val="Arial"/>
      <family val="2"/>
      <charset val="163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u/>
      <sz val="11"/>
      <color theme="10"/>
      <name val="Arial"/>
      <family val="2"/>
      <charset val="163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14" fontId="1" fillId="0" borderId="1" xfId="0" applyNumberFormat="1" applyFont="1" applyBorder="1" applyAlignment="1">
      <alignment vertical="top" wrapText="1"/>
    </xf>
    <xf numFmtId="164" fontId="1" fillId="0" borderId="1" xfId="0" applyNumberFormat="1" applyFont="1" applyBorder="1" applyAlignment="1">
      <alignment vertical="top" wrapText="1"/>
    </xf>
    <xf numFmtId="0" fontId="3" fillId="0" borderId="1" xfId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asdau.vercel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showGridLines="0" topLeftCell="A7" workbookViewId="0">
      <selection sqref="A1:B1"/>
    </sheetView>
  </sheetViews>
  <sheetFormatPr defaultRowHeight="13.8" x14ac:dyDescent="0.25"/>
  <cols>
    <col min="1" max="1" width="20.8984375" customWidth="1"/>
    <col min="2" max="2" width="44.296875" customWidth="1"/>
  </cols>
  <sheetData>
    <row r="1" spans="1:2" ht="51" customHeight="1" x14ac:dyDescent="0.25">
      <c r="A1" s="5" t="s">
        <v>0</v>
      </c>
      <c r="B1" s="5"/>
    </row>
    <row r="2" spans="1:2" x14ac:dyDescent="0.25">
      <c r="A2" s="1" t="s">
        <v>1</v>
      </c>
      <c r="B2" s="1" t="s">
        <v>2</v>
      </c>
    </row>
    <row r="3" spans="1:2" x14ac:dyDescent="0.25">
      <c r="A3" s="1"/>
      <c r="B3" s="1" t="s">
        <v>3</v>
      </c>
    </row>
    <row r="4" spans="1:2" x14ac:dyDescent="0.25">
      <c r="A4" s="1"/>
      <c r="B4" s="1" t="s">
        <v>4</v>
      </c>
    </row>
    <row r="5" spans="1:2" x14ac:dyDescent="0.25">
      <c r="A5" s="1"/>
      <c r="B5" s="1" t="s">
        <v>5</v>
      </c>
    </row>
    <row r="6" spans="1:2" x14ac:dyDescent="0.25">
      <c r="A6" s="1"/>
      <c r="B6" s="1" t="s">
        <v>6</v>
      </c>
    </row>
    <row r="7" spans="1:2" x14ac:dyDescent="0.25">
      <c r="A7" s="1" t="s">
        <v>7</v>
      </c>
      <c r="B7" s="1" t="s">
        <v>8</v>
      </c>
    </row>
    <row r="8" spans="1:2" x14ac:dyDescent="0.25">
      <c r="A8" s="1" t="s">
        <v>9</v>
      </c>
      <c r="B8" s="4" t="s">
        <v>10</v>
      </c>
    </row>
    <row r="9" spans="1:2" x14ac:dyDescent="0.25">
      <c r="A9" s="1" t="s">
        <v>11</v>
      </c>
      <c r="B9" s="1" t="s">
        <v>12</v>
      </c>
    </row>
    <row r="10" spans="1:2" x14ac:dyDescent="0.25">
      <c r="A10" s="1" t="s">
        <v>13</v>
      </c>
      <c r="B10" s="2">
        <v>46167</v>
      </c>
    </row>
    <row r="11" spans="1:2" x14ac:dyDescent="0.25">
      <c r="A11" s="1" t="s">
        <v>14</v>
      </c>
      <c r="B11" s="1"/>
    </row>
    <row r="12" spans="1:2" ht="25.5" customHeight="1" x14ac:dyDescent="0.25">
      <c r="A12" s="1"/>
      <c r="B12" s="1" t="s">
        <v>15</v>
      </c>
    </row>
    <row r="13" spans="1:2" ht="38.25" customHeight="1" x14ac:dyDescent="0.25">
      <c r="A13" s="1"/>
      <c r="B13" s="1" t="s">
        <v>16</v>
      </c>
    </row>
    <row r="14" spans="1:2" ht="38.25" customHeight="1" x14ac:dyDescent="0.25">
      <c r="A14" s="1"/>
      <c r="B14" s="1" t="s">
        <v>17</v>
      </c>
    </row>
    <row r="15" spans="1:2" ht="38.25" customHeight="1" x14ac:dyDescent="0.25">
      <c r="A15" s="1"/>
      <c r="B15" s="1" t="s">
        <v>18</v>
      </c>
    </row>
    <row r="16" spans="1:2" ht="38.25" customHeight="1" x14ac:dyDescent="0.25">
      <c r="A16" s="1"/>
      <c r="B16" s="1" t="s">
        <v>19</v>
      </c>
    </row>
    <row r="17" spans="1:2" ht="38.25" customHeight="1" x14ac:dyDescent="0.25">
      <c r="A17" s="1"/>
      <c r="B17" s="1" t="s">
        <v>20</v>
      </c>
    </row>
    <row r="18" spans="1:2" ht="51" customHeight="1" x14ac:dyDescent="0.25">
      <c r="A18" s="1"/>
      <c r="B18" s="1" t="s">
        <v>21</v>
      </c>
    </row>
    <row r="19" spans="1:2" ht="38.25" customHeight="1" x14ac:dyDescent="0.25">
      <c r="A19" s="1"/>
      <c r="B19" s="1" t="s">
        <v>22</v>
      </c>
    </row>
  </sheetData>
  <hyperlinks>
    <hyperlink ref="B8" r:id="rId1" xr:uid="{00000000-0004-0000-0000-000000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showGridLines="0" topLeftCell="A4" workbookViewId="0">
      <selection activeCell="H15" sqref="H15"/>
    </sheetView>
  </sheetViews>
  <sheetFormatPr defaultRowHeight="13.8" x14ac:dyDescent="0.25"/>
  <cols>
    <col min="1" max="1" width="16.296875" customWidth="1"/>
    <col min="2" max="2" width="9" bestFit="1" customWidth="1"/>
    <col min="3" max="3" width="26.69921875" customWidth="1"/>
    <col min="4" max="4" width="7.59765625" bestFit="1" customWidth="1"/>
    <col min="5" max="5" width="17.59765625" customWidth="1"/>
  </cols>
  <sheetData>
    <row r="1" spans="1:5" ht="38.25" customHeight="1" x14ac:dyDescent="0.25">
      <c r="A1" s="5" t="s">
        <v>23</v>
      </c>
      <c r="B1" s="5"/>
      <c r="C1" s="5"/>
      <c r="D1" s="5"/>
      <c r="E1" s="5"/>
    </row>
    <row r="2" spans="1:5" ht="38.25" customHeight="1" x14ac:dyDescent="0.25">
      <c r="A2" s="5" t="s">
        <v>24</v>
      </c>
      <c r="B2" s="5" t="s">
        <v>25</v>
      </c>
      <c r="C2" s="5" t="s">
        <v>26</v>
      </c>
      <c r="D2" s="5" t="s">
        <v>27</v>
      </c>
      <c r="E2" s="5" t="s">
        <v>28</v>
      </c>
    </row>
    <row r="3" spans="1:5" ht="25.5" customHeight="1" x14ac:dyDescent="0.25">
      <c r="A3" s="1" t="s">
        <v>29</v>
      </c>
      <c r="B3" s="1" t="s">
        <v>30</v>
      </c>
      <c r="C3" s="1" t="s">
        <v>31</v>
      </c>
      <c r="D3" s="1" t="s">
        <v>32</v>
      </c>
      <c r="E3" s="1" t="s">
        <v>33</v>
      </c>
    </row>
    <row r="4" spans="1:5" ht="25.5" customHeight="1" x14ac:dyDescent="0.25">
      <c r="A4" s="1" t="s">
        <v>34</v>
      </c>
      <c r="B4" s="1" t="s">
        <v>30</v>
      </c>
      <c r="C4" s="1" t="s">
        <v>35</v>
      </c>
      <c r="D4" s="1" t="s">
        <v>32</v>
      </c>
      <c r="E4" s="1" t="s">
        <v>36</v>
      </c>
    </row>
    <row r="5" spans="1:5" ht="25.5" customHeight="1" x14ac:dyDescent="0.25">
      <c r="A5" s="1" t="s">
        <v>37</v>
      </c>
      <c r="B5" s="1" t="s">
        <v>38</v>
      </c>
      <c r="C5" s="1" t="s">
        <v>39</v>
      </c>
      <c r="D5" s="1" t="s">
        <v>40</v>
      </c>
      <c r="E5" s="1" t="s">
        <v>41</v>
      </c>
    </row>
    <row r="6" spans="1:5" ht="25.5" customHeight="1" x14ac:dyDescent="0.25">
      <c r="A6" s="1" t="s">
        <v>42</v>
      </c>
      <c r="B6" s="1" t="s">
        <v>43</v>
      </c>
      <c r="C6" s="1" t="s">
        <v>44</v>
      </c>
      <c r="D6" s="1" t="s">
        <v>32</v>
      </c>
      <c r="E6" s="1" t="s">
        <v>45</v>
      </c>
    </row>
    <row r="7" spans="1:5" ht="25.5" customHeight="1" x14ac:dyDescent="0.25">
      <c r="A7" s="1" t="s">
        <v>46</v>
      </c>
      <c r="B7" s="1" t="s">
        <v>47</v>
      </c>
      <c r="C7" s="1" t="s">
        <v>48</v>
      </c>
      <c r="D7" s="1" t="s">
        <v>32</v>
      </c>
      <c r="E7" s="1" t="s">
        <v>49</v>
      </c>
    </row>
    <row r="8" spans="1:5" ht="25.5" customHeight="1" x14ac:dyDescent="0.25">
      <c r="A8" s="1" t="s">
        <v>50</v>
      </c>
      <c r="B8" s="1" t="s">
        <v>51</v>
      </c>
      <c r="C8" s="1" t="s">
        <v>52</v>
      </c>
      <c r="D8" s="1" t="s">
        <v>32</v>
      </c>
      <c r="E8" s="1" t="s">
        <v>53</v>
      </c>
    </row>
    <row r="9" spans="1:5" ht="25.5" customHeight="1" x14ac:dyDescent="0.25">
      <c r="A9" s="1" t="s">
        <v>54</v>
      </c>
      <c r="B9" s="1" t="s">
        <v>55</v>
      </c>
      <c r="C9" s="1" t="s">
        <v>56</v>
      </c>
      <c r="D9" s="1" t="s">
        <v>40</v>
      </c>
      <c r="E9" s="1" t="s">
        <v>57</v>
      </c>
    </row>
    <row r="10" spans="1:5" ht="25.5" customHeight="1" x14ac:dyDescent="0.25">
      <c r="A10" s="1" t="s">
        <v>58</v>
      </c>
      <c r="B10" s="1" t="s">
        <v>59</v>
      </c>
      <c r="C10" s="1" t="s">
        <v>60</v>
      </c>
      <c r="D10" s="1" t="s">
        <v>32</v>
      </c>
      <c r="E10" s="1" t="s">
        <v>61</v>
      </c>
    </row>
    <row r="11" spans="1:5" ht="25.5" customHeight="1" x14ac:dyDescent="0.25">
      <c r="A11" s="1" t="s">
        <v>62</v>
      </c>
      <c r="B11" s="1" t="s">
        <v>63</v>
      </c>
      <c r="C11" s="1" t="s">
        <v>64</v>
      </c>
      <c r="D11" s="1" t="s">
        <v>32</v>
      </c>
      <c r="E11" s="1" t="s">
        <v>65</v>
      </c>
    </row>
    <row r="12" spans="1:5" ht="25.5" customHeight="1" x14ac:dyDescent="0.25">
      <c r="A12" s="1" t="s">
        <v>66</v>
      </c>
      <c r="B12" s="1" t="s">
        <v>67</v>
      </c>
      <c r="C12" s="1" t="s">
        <v>68</v>
      </c>
      <c r="D12" s="1" t="s">
        <v>40</v>
      </c>
      <c r="E12" s="1" t="s">
        <v>69</v>
      </c>
    </row>
    <row r="13" spans="1:5" ht="25.5" customHeight="1" x14ac:dyDescent="0.25">
      <c r="A13" s="1" t="s">
        <v>70</v>
      </c>
      <c r="B13" s="1" t="s">
        <v>71</v>
      </c>
      <c r="C13" s="1" t="s">
        <v>72</v>
      </c>
      <c r="D13" s="1" t="s">
        <v>40</v>
      </c>
      <c r="E13" s="1" t="s">
        <v>73</v>
      </c>
    </row>
    <row r="14" spans="1:5" ht="25.5" customHeight="1" x14ac:dyDescent="0.25">
      <c r="A14" s="1" t="s">
        <v>74</v>
      </c>
      <c r="B14" s="1" t="s">
        <v>75</v>
      </c>
      <c r="C14" s="1" t="s">
        <v>76</v>
      </c>
      <c r="D14" s="1" t="s">
        <v>40</v>
      </c>
      <c r="E14" s="1" t="s">
        <v>77</v>
      </c>
    </row>
    <row r="15" spans="1:5" ht="25.5" customHeight="1" x14ac:dyDescent="0.25">
      <c r="A15" s="1" t="s">
        <v>78</v>
      </c>
      <c r="B15" s="1" t="s">
        <v>75</v>
      </c>
      <c r="C15" s="1" t="s">
        <v>79</v>
      </c>
      <c r="D15" s="1" t="s">
        <v>40</v>
      </c>
      <c r="E15" s="1" t="s">
        <v>80</v>
      </c>
    </row>
    <row r="16" spans="1:5" ht="25.5" customHeight="1" x14ac:dyDescent="0.25">
      <c r="A16" s="1" t="s">
        <v>81</v>
      </c>
      <c r="B16" s="1" t="s">
        <v>82</v>
      </c>
      <c r="C16" s="1" t="s">
        <v>83</v>
      </c>
      <c r="D16" s="1" t="s">
        <v>32</v>
      </c>
      <c r="E16" s="1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/>
  </sheetViews>
  <sheetFormatPr defaultRowHeight="13.8" x14ac:dyDescent="0.25"/>
  <sheetData>
    <row r="1" spans="1:1" x14ac:dyDescent="0.25">
      <c r="A1" t="s">
        <v>85</v>
      </c>
    </row>
    <row r="2" spans="1:1" x14ac:dyDescent="0.25">
      <c r="A2" t="s">
        <v>86</v>
      </c>
    </row>
    <row r="3" spans="1:1" x14ac:dyDescent="0.25">
      <c r="A3" t="s">
        <v>87</v>
      </c>
    </row>
    <row r="4" spans="1:1" x14ac:dyDescent="0.25">
      <c r="A4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4"/>
  <sheetViews>
    <sheetView showGridLines="0" tabSelected="1" topLeftCell="A19" zoomScale="70" zoomScaleNormal="70" workbookViewId="0">
      <selection activeCell="G6" sqref="G6"/>
    </sheetView>
  </sheetViews>
  <sheetFormatPr defaultRowHeight="13.8" x14ac:dyDescent="0.25"/>
  <cols>
    <col min="1" max="1" width="15.69921875" customWidth="1"/>
    <col min="2" max="2" width="8.8984375" bestFit="1" customWidth="1"/>
    <col min="4" max="4" width="24.69921875" customWidth="1"/>
    <col min="5" max="5" width="38.69921875" customWidth="1"/>
    <col min="6" max="6" width="28.69921875" customWidth="1"/>
    <col min="7" max="7" width="42.69921875" customWidth="1"/>
    <col min="8" max="8" width="37.09765625" customWidth="1"/>
    <col min="9" max="9" width="14.69921875" customWidth="1"/>
    <col min="10" max="10" width="12.69921875" customWidth="1"/>
    <col min="11" max="12" width="18.69921875" customWidth="1"/>
  </cols>
  <sheetData>
    <row r="1" spans="1:12" ht="25.5" customHeight="1" x14ac:dyDescent="0.25">
      <c r="A1" s="5" t="s">
        <v>89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25.5" customHeight="1" x14ac:dyDescent="0.25">
      <c r="A2" s="5" t="s">
        <v>90</v>
      </c>
      <c r="B2" s="5" t="s">
        <v>25</v>
      </c>
      <c r="C2" s="5" t="s">
        <v>24</v>
      </c>
      <c r="D2" s="5" t="s">
        <v>91</v>
      </c>
      <c r="E2" s="5" t="s">
        <v>92</v>
      </c>
      <c r="F2" s="5" t="s">
        <v>93</v>
      </c>
      <c r="G2" s="5" t="s">
        <v>94</v>
      </c>
      <c r="H2" s="5" t="s">
        <v>95</v>
      </c>
      <c r="I2" s="5" t="s">
        <v>96</v>
      </c>
      <c r="J2" s="5" t="s">
        <v>27</v>
      </c>
      <c r="K2" s="5" t="s">
        <v>97</v>
      </c>
      <c r="L2" s="5" t="s">
        <v>98</v>
      </c>
    </row>
    <row r="3" spans="1:12" ht="51" customHeight="1" x14ac:dyDescent="0.25">
      <c r="A3" s="1" t="s">
        <v>99</v>
      </c>
      <c r="B3" s="1" t="s">
        <v>30</v>
      </c>
      <c r="C3" s="1" t="s">
        <v>29</v>
      </c>
      <c r="D3" s="1" t="s">
        <v>100</v>
      </c>
      <c r="E3" s="1" t="s">
        <v>101</v>
      </c>
      <c r="F3" s="1" t="s">
        <v>102</v>
      </c>
      <c r="G3" s="1" t="s">
        <v>103</v>
      </c>
      <c r="H3" s="1" t="s">
        <v>103</v>
      </c>
      <c r="I3" s="6" t="s">
        <v>85</v>
      </c>
      <c r="J3" s="1" t="s">
        <v>32</v>
      </c>
      <c r="K3" s="1" t="s">
        <v>12</v>
      </c>
      <c r="L3" s="1"/>
    </row>
    <row r="4" spans="1:12" ht="51" customHeight="1" x14ac:dyDescent="0.25">
      <c r="A4" s="1" t="s">
        <v>104</v>
      </c>
      <c r="B4" s="1" t="s">
        <v>30</v>
      </c>
      <c r="C4" s="1" t="s">
        <v>29</v>
      </c>
      <c r="D4" s="1" t="s">
        <v>100</v>
      </c>
      <c r="E4" s="1" t="s">
        <v>105</v>
      </c>
      <c r="F4" s="1" t="s">
        <v>106</v>
      </c>
      <c r="G4" s="1" t="s">
        <v>107</v>
      </c>
      <c r="H4" s="1" t="s">
        <v>107</v>
      </c>
      <c r="I4" s="6" t="s">
        <v>85</v>
      </c>
      <c r="J4" s="1" t="s">
        <v>32</v>
      </c>
      <c r="K4" s="1" t="s">
        <v>12</v>
      </c>
      <c r="L4" s="1"/>
    </row>
    <row r="5" spans="1:12" ht="51" customHeight="1" x14ac:dyDescent="0.25">
      <c r="A5" s="1" t="s">
        <v>108</v>
      </c>
      <c r="B5" s="1" t="s">
        <v>30</v>
      </c>
      <c r="C5" s="1" t="s">
        <v>29</v>
      </c>
      <c r="D5" s="1" t="s">
        <v>100</v>
      </c>
      <c r="E5" s="1" t="s">
        <v>109</v>
      </c>
      <c r="F5" s="1" t="s">
        <v>110</v>
      </c>
      <c r="G5" s="1" t="s">
        <v>111</v>
      </c>
      <c r="H5" s="1" t="s">
        <v>111</v>
      </c>
      <c r="I5" s="6" t="s">
        <v>85</v>
      </c>
      <c r="J5" s="1" t="s">
        <v>32</v>
      </c>
      <c r="K5" s="1" t="s">
        <v>12</v>
      </c>
      <c r="L5" s="1"/>
    </row>
    <row r="6" spans="1:12" ht="51" customHeight="1" x14ac:dyDescent="0.25">
      <c r="A6" s="1" t="s">
        <v>112</v>
      </c>
      <c r="B6" s="1" t="s">
        <v>30</v>
      </c>
      <c r="C6" s="1" t="s">
        <v>34</v>
      </c>
      <c r="D6" s="1" t="s">
        <v>100</v>
      </c>
      <c r="E6" s="1" t="s">
        <v>113</v>
      </c>
      <c r="F6" s="1" t="s">
        <v>114</v>
      </c>
      <c r="G6" s="1" t="s">
        <v>115</v>
      </c>
      <c r="H6" s="1" t="s">
        <v>115</v>
      </c>
      <c r="I6" s="6" t="s">
        <v>85</v>
      </c>
      <c r="J6" s="1" t="s">
        <v>32</v>
      </c>
      <c r="K6" s="1" t="s">
        <v>12</v>
      </c>
      <c r="L6" s="1"/>
    </row>
    <row r="7" spans="1:12" ht="38.25" customHeight="1" x14ac:dyDescent="0.25">
      <c r="A7" s="1" t="s">
        <v>116</v>
      </c>
      <c r="B7" s="1" t="s">
        <v>30</v>
      </c>
      <c r="C7" s="1" t="s">
        <v>34</v>
      </c>
      <c r="D7" s="1" t="s">
        <v>100</v>
      </c>
      <c r="E7" s="1" t="s">
        <v>117</v>
      </c>
      <c r="F7" s="1" t="s">
        <v>118</v>
      </c>
      <c r="G7" s="1" t="s">
        <v>119</v>
      </c>
      <c r="H7" s="1" t="s">
        <v>119</v>
      </c>
      <c r="I7" s="6" t="s">
        <v>85</v>
      </c>
      <c r="J7" s="1" t="s">
        <v>40</v>
      </c>
      <c r="K7" s="1" t="s">
        <v>12</v>
      </c>
      <c r="L7" s="1"/>
    </row>
    <row r="8" spans="1:12" ht="25.5" customHeight="1" x14ac:dyDescent="0.25">
      <c r="A8" s="1" t="s">
        <v>120</v>
      </c>
      <c r="B8" s="1" t="s">
        <v>38</v>
      </c>
      <c r="C8" s="1" t="s">
        <v>37</v>
      </c>
      <c r="D8" s="1" t="s">
        <v>121</v>
      </c>
      <c r="E8" s="1" t="s">
        <v>122</v>
      </c>
      <c r="F8" s="1" t="s">
        <v>102</v>
      </c>
      <c r="G8" s="1" t="s">
        <v>123</v>
      </c>
      <c r="H8" s="1" t="s">
        <v>123</v>
      </c>
      <c r="I8" s="6" t="s">
        <v>85</v>
      </c>
      <c r="J8" s="1" t="s">
        <v>40</v>
      </c>
      <c r="K8" s="1" t="s">
        <v>12</v>
      </c>
      <c r="L8" s="1"/>
    </row>
    <row r="9" spans="1:12" ht="38.25" customHeight="1" x14ac:dyDescent="0.25">
      <c r="A9" s="1" t="s">
        <v>124</v>
      </c>
      <c r="B9" s="1" t="s">
        <v>43</v>
      </c>
      <c r="C9" s="1" t="s">
        <v>42</v>
      </c>
      <c r="D9" s="1" t="s">
        <v>125</v>
      </c>
      <c r="E9" s="1" t="s">
        <v>126</v>
      </c>
      <c r="F9" s="1" t="s">
        <v>102</v>
      </c>
      <c r="G9" s="1" t="s">
        <v>127</v>
      </c>
      <c r="H9" s="1" t="s">
        <v>127</v>
      </c>
      <c r="I9" s="6" t="s">
        <v>85</v>
      </c>
      <c r="J9" s="1" t="s">
        <v>32</v>
      </c>
      <c r="K9" s="1" t="s">
        <v>12</v>
      </c>
      <c r="L9" s="1"/>
    </row>
    <row r="10" spans="1:12" ht="38.25" customHeight="1" x14ac:dyDescent="0.25">
      <c r="A10" s="1" t="s">
        <v>128</v>
      </c>
      <c r="B10" s="1" t="s">
        <v>43</v>
      </c>
      <c r="C10" s="1" t="s">
        <v>42</v>
      </c>
      <c r="D10" s="1" t="s">
        <v>129</v>
      </c>
      <c r="E10" s="1" t="s">
        <v>130</v>
      </c>
      <c r="F10" s="1" t="s">
        <v>106</v>
      </c>
      <c r="G10" s="1" t="s">
        <v>131</v>
      </c>
      <c r="H10" s="1" t="s">
        <v>131</v>
      </c>
      <c r="I10" s="6" t="s">
        <v>85</v>
      </c>
      <c r="J10" s="1" t="s">
        <v>32</v>
      </c>
      <c r="K10" s="1" t="s">
        <v>12</v>
      </c>
      <c r="L10" s="1"/>
    </row>
    <row r="11" spans="1:12" ht="38.25" customHeight="1" x14ac:dyDescent="0.25">
      <c r="A11" s="1" t="s">
        <v>132</v>
      </c>
      <c r="B11" s="1" t="s">
        <v>43</v>
      </c>
      <c r="C11" s="1" t="s">
        <v>42</v>
      </c>
      <c r="D11" s="1" t="s">
        <v>133</v>
      </c>
      <c r="E11" s="1" t="s">
        <v>134</v>
      </c>
      <c r="F11" s="1" t="s">
        <v>110</v>
      </c>
      <c r="G11" s="1" t="s">
        <v>135</v>
      </c>
      <c r="H11" s="1" t="s">
        <v>135</v>
      </c>
      <c r="I11" s="6" t="s">
        <v>85</v>
      </c>
      <c r="J11" s="1" t="s">
        <v>32</v>
      </c>
      <c r="K11" s="1" t="s">
        <v>12</v>
      </c>
      <c r="L11" s="1"/>
    </row>
    <row r="12" spans="1:12" ht="38.25" customHeight="1" x14ac:dyDescent="0.25">
      <c r="A12" s="1" t="s">
        <v>136</v>
      </c>
      <c r="B12" s="1" t="s">
        <v>47</v>
      </c>
      <c r="C12" s="1" t="s">
        <v>46</v>
      </c>
      <c r="D12" s="1" t="s">
        <v>125</v>
      </c>
      <c r="E12" s="1" t="s">
        <v>137</v>
      </c>
      <c r="F12" s="1" t="s">
        <v>138</v>
      </c>
      <c r="G12" s="1" t="s">
        <v>139</v>
      </c>
      <c r="H12" s="1" t="s">
        <v>139</v>
      </c>
      <c r="I12" s="6" t="s">
        <v>85</v>
      </c>
      <c r="J12" s="1" t="s">
        <v>32</v>
      </c>
      <c r="K12" s="1" t="s">
        <v>12</v>
      </c>
      <c r="L12" s="1"/>
    </row>
    <row r="13" spans="1:12" ht="51" customHeight="1" x14ac:dyDescent="0.25">
      <c r="A13" s="1" t="s">
        <v>140</v>
      </c>
      <c r="B13" s="1" t="s">
        <v>47</v>
      </c>
      <c r="C13" s="1" t="s">
        <v>46</v>
      </c>
      <c r="D13" s="1" t="s">
        <v>141</v>
      </c>
      <c r="E13" s="1" t="s">
        <v>142</v>
      </c>
      <c r="F13" s="1" t="s">
        <v>143</v>
      </c>
      <c r="G13" s="1" t="s">
        <v>144</v>
      </c>
      <c r="H13" s="1" t="s">
        <v>144</v>
      </c>
      <c r="I13" s="6" t="s">
        <v>85</v>
      </c>
      <c r="J13" s="1" t="s">
        <v>40</v>
      </c>
      <c r="K13" s="1" t="s">
        <v>12</v>
      </c>
      <c r="L13" s="1"/>
    </row>
    <row r="14" spans="1:12" ht="38.25" customHeight="1" x14ac:dyDescent="0.25">
      <c r="A14" s="1" t="s">
        <v>145</v>
      </c>
      <c r="B14" s="1" t="s">
        <v>47</v>
      </c>
      <c r="C14" s="1" t="s">
        <v>46</v>
      </c>
      <c r="D14" s="1" t="s">
        <v>146</v>
      </c>
      <c r="E14" s="1" t="s">
        <v>147</v>
      </c>
      <c r="F14" s="1" t="s">
        <v>138</v>
      </c>
      <c r="G14" s="1" t="s">
        <v>148</v>
      </c>
      <c r="H14" s="1" t="s">
        <v>148</v>
      </c>
      <c r="I14" s="6" t="s">
        <v>85</v>
      </c>
      <c r="J14" s="1" t="s">
        <v>40</v>
      </c>
      <c r="K14" s="1" t="s">
        <v>12</v>
      </c>
      <c r="L14" s="1"/>
    </row>
    <row r="15" spans="1:12" ht="51" customHeight="1" x14ac:dyDescent="0.25">
      <c r="A15" s="1" t="s">
        <v>149</v>
      </c>
      <c r="B15" s="1" t="s">
        <v>51</v>
      </c>
      <c r="C15" s="1" t="s">
        <v>50</v>
      </c>
      <c r="D15" s="1" t="s">
        <v>141</v>
      </c>
      <c r="E15" s="1" t="s">
        <v>150</v>
      </c>
      <c r="F15" s="1" t="s">
        <v>151</v>
      </c>
      <c r="G15" s="1" t="s">
        <v>152</v>
      </c>
      <c r="H15" s="1" t="s">
        <v>152</v>
      </c>
      <c r="I15" s="6" t="s">
        <v>85</v>
      </c>
      <c r="J15" s="1" t="s">
        <v>32</v>
      </c>
      <c r="K15" s="1" t="s">
        <v>12</v>
      </c>
      <c r="L15" s="1"/>
    </row>
    <row r="16" spans="1:12" ht="51" customHeight="1" x14ac:dyDescent="0.25">
      <c r="A16" s="1" t="s">
        <v>153</v>
      </c>
      <c r="B16" s="1" t="s">
        <v>51</v>
      </c>
      <c r="C16" s="1" t="s">
        <v>50</v>
      </c>
      <c r="D16" s="1" t="s">
        <v>154</v>
      </c>
      <c r="E16" s="1" t="s">
        <v>155</v>
      </c>
      <c r="F16" s="1" t="s">
        <v>156</v>
      </c>
      <c r="G16" s="1" t="s">
        <v>157</v>
      </c>
      <c r="H16" s="1" t="s">
        <v>157</v>
      </c>
      <c r="I16" s="6" t="s">
        <v>85</v>
      </c>
      <c r="J16" s="1" t="s">
        <v>40</v>
      </c>
      <c r="K16" s="1" t="s">
        <v>12</v>
      </c>
      <c r="L16" s="1"/>
    </row>
    <row r="17" spans="1:12" ht="38.25" customHeight="1" x14ac:dyDescent="0.25">
      <c r="A17" s="1" t="s">
        <v>158</v>
      </c>
      <c r="B17" s="1" t="s">
        <v>51</v>
      </c>
      <c r="C17" s="1" t="s">
        <v>50</v>
      </c>
      <c r="D17" s="1" t="s">
        <v>159</v>
      </c>
      <c r="E17" s="1" t="s">
        <v>160</v>
      </c>
      <c r="F17" s="1" t="s">
        <v>161</v>
      </c>
      <c r="G17" s="1" t="s">
        <v>162</v>
      </c>
      <c r="H17" s="1" t="s">
        <v>162</v>
      </c>
      <c r="I17" s="6" t="s">
        <v>85</v>
      </c>
      <c r="J17" s="1" t="s">
        <v>40</v>
      </c>
      <c r="K17" s="1" t="s">
        <v>12</v>
      </c>
      <c r="L17" s="1"/>
    </row>
    <row r="18" spans="1:12" ht="51" customHeight="1" x14ac:dyDescent="0.25">
      <c r="A18" s="1" t="s">
        <v>163</v>
      </c>
      <c r="B18" s="1" t="s">
        <v>55</v>
      </c>
      <c r="C18" s="1" t="s">
        <v>54</v>
      </c>
      <c r="D18" s="1" t="s">
        <v>164</v>
      </c>
      <c r="E18" s="1" t="s">
        <v>165</v>
      </c>
      <c r="F18" s="1" t="s">
        <v>166</v>
      </c>
      <c r="G18" s="1" t="s">
        <v>167</v>
      </c>
      <c r="H18" s="1" t="s">
        <v>167</v>
      </c>
      <c r="I18" s="6" t="s">
        <v>85</v>
      </c>
      <c r="J18" s="1" t="s">
        <v>40</v>
      </c>
      <c r="K18" s="1" t="s">
        <v>12</v>
      </c>
      <c r="L18" s="1"/>
    </row>
    <row r="19" spans="1:12" ht="38.25" customHeight="1" x14ac:dyDescent="0.25">
      <c r="A19" s="1" t="s">
        <v>168</v>
      </c>
      <c r="B19" s="1" t="s">
        <v>55</v>
      </c>
      <c r="C19" s="1" t="s">
        <v>54</v>
      </c>
      <c r="D19" s="1" t="s">
        <v>169</v>
      </c>
      <c r="E19" s="1" t="s">
        <v>170</v>
      </c>
      <c r="F19" s="1" t="s">
        <v>171</v>
      </c>
      <c r="G19" s="1" t="s">
        <v>172</v>
      </c>
      <c r="H19" s="1" t="s">
        <v>172</v>
      </c>
      <c r="I19" s="6" t="s">
        <v>85</v>
      </c>
      <c r="J19" s="1" t="s">
        <v>40</v>
      </c>
      <c r="K19" s="1" t="s">
        <v>12</v>
      </c>
      <c r="L19" s="1"/>
    </row>
    <row r="20" spans="1:12" ht="51" customHeight="1" x14ac:dyDescent="0.25">
      <c r="A20" s="1" t="s">
        <v>173</v>
      </c>
      <c r="B20" s="1" t="s">
        <v>59</v>
      </c>
      <c r="C20" s="1" t="s">
        <v>58</v>
      </c>
      <c r="D20" s="1" t="s">
        <v>174</v>
      </c>
      <c r="E20" s="1" t="s">
        <v>175</v>
      </c>
      <c r="F20" s="1" t="s">
        <v>176</v>
      </c>
      <c r="G20" s="1" t="s">
        <v>177</v>
      </c>
      <c r="H20" s="1" t="s">
        <v>177</v>
      </c>
      <c r="I20" s="6" t="s">
        <v>85</v>
      </c>
      <c r="J20" s="1" t="s">
        <v>32</v>
      </c>
      <c r="K20" s="1" t="s">
        <v>12</v>
      </c>
      <c r="L20" s="1"/>
    </row>
    <row r="21" spans="1:12" ht="38.25" customHeight="1" x14ac:dyDescent="0.25">
      <c r="A21" s="1" t="s">
        <v>178</v>
      </c>
      <c r="B21" s="1" t="s">
        <v>59</v>
      </c>
      <c r="C21" s="1" t="s">
        <v>58</v>
      </c>
      <c r="D21" s="1" t="s">
        <v>179</v>
      </c>
      <c r="E21" s="1" t="s">
        <v>180</v>
      </c>
      <c r="F21" s="1" t="s">
        <v>181</v>
      </c>
      <c r="G21" s="1" t="s">
        <v>182</v>
      </c>
      <c r="H21" s="1" t="s">
        <v>182</v>
      </c>
      <c r="I21" s="6" t="s">
        <v>85</v>
      </c>
      <c r="J21" s="1" t="s">
        <v>40</v>
      </c>
      <c r="K21" s="1" t="s">
        <v>12</v>
      </c>
      <c r="L21" s="1"/>
    </row>
    <row r="22" spans="1:12" ht="51" customHeight="1" x14ac:dyDescent="0.25">
      <c r="A22" s="1" t="s">
        <v>183</v>
      </c>
      <c r="B22" s="1" t="s">
        <v>63</v>
      </c>
      <c r="C22" s="1" t="s">
        <v>62</v>
      </c>
      <c r="D22" s="1" t="s">
        <v>179</v>
      </c>
      <c r="E22" s="1" t="s">
        <v>184</v>
      </c>
      <c r="F22" s="1" t="s">
        <v>185</v>
      </c>
      <c r="G22" s="1" t="s">
        <v>186</v>
      </c>
      <c r="H22" s="1" t="s">
        <v>186</v>
      </c>
      <c r="I22" s="6" t="s">
        <v>85</v>
      </c>
      <c r="J22" s="1" t="s">
        <v>32</v>
      </c>
      <c r="K22" s="1" t="s">
        <v>12</v>
      </c>
      <c r="L22" s="1"/>
    </row>
    <row r="23" spans="1:12" ht="51" customHeight="1" x14ac:dyDescent="0.25">
      <c r="A23" s="1" t="s">
        <v>187</v>
      </c>
      <c r="B23" s="1" t="s">
        <v>75</v>
      </c>
      <c r="C23" s="1" t="s">
        <v>74</v>
      </c>
      <c r="D23" s="1" t="s">
        <v>188</v>
      </c>
      <c r="E23" s="1" t="s">
        <v>189</v>
      </c>
      <c r="F23" s="1" t="s">
        <v>190</v>
      </c>
      <c r="G23" s="1" t="s">
        <v>191</v>
      </c>
      <c r="H23" s="1" t="s">
        <v>191</v>
      </c>
      <c r="I23" s="6" t="s">
        <v>85</v>
      </c>
      <c r="J23" s="1" t="s">
        <v>40</v>
      </c>
      <c r="K23" s="1" t="s">
        <v>12</v>
      </c>
      <c r="L23" s="1"/>
    </row>
    <row r="24" spans="1:12" ht="51" customHeight="1" x14ac:dyDescent="0.25">
      <c r="A24" s="1" t="s">
        <v>192</v>
      </c>
      <c r="B24" s="1" t="s">
        <v>75</v>
      </c>
      <c r="C24" s="1" t="s">
        <v>74</v>
      </c>
      <c r="D24" s="1" t="s">
        <v>188</v>
      </c>
      <c r="E24" s="1" t="s">
        <v>193</v>
      </c>
      <c r="F24" s="1" t="s">
        <v>194</v>
      </c>
      <c r="G24" s="1" t="s">
        <v>195</v>
      </c>
      <c r="H24" s="1" t="s">
        <v>195</v>
      </c>
      <c r="I24" s="6" t="s">
        <v>85</v>
      </c>
      <c r="J24" s="1" t="s">
        <v>40</v>
      </c>
      <c r="K24" s="1" t="s">
        <v>12</v>
      </c>
      <c r="L24" s="1"/>
    </row>
    <row r="25" spans="1:12" ht="51" customHeight="1" x14ac:dyDescent="0.25">
      <c r="A25" s="1" t="s">
        <v>196</v>
      </c>
      <c r="B25" s="1" t="s">
        <v>75</v>
      </c>
      <c r="C25" s="1" t="s">
        <v>78</v>
      </c>
      <c r="D25" s="1" t="s">
        <v>197</v>
      </c>
      <c r="E25" s="1" t="s">
        <v>198</v>
      </c>
      <c r="F25" s="1" t="s">
        <v>199</v>
      </c>
      <c r="G25" s="1" t="s">
        <v>200</v>
      </c>
      <c r="H25" s="1" t="s">
        <v>200</v>
      </c>
      <c r="I25" s="6" t="s">
        <v>85</v>
      </c>
      <c r="J25" s="1" t="s">
        <v>40</v>
      </c>
      <c r="K25" s="1" t="s">
        <v>12</v>
      </c>
      <c r="L25" s="1"/>
    </row>
    <row r="26" spans="1:12" ht="51" customHeight="1" x14ac:dyDescent="0.25">
      <c r="A26" s="1" t="s">
        <v>201</v>
      </c>
      <c r="B26" s="1" t="s">
        <v>75</v>
      </c>
      <c r="C26" s="1" t="s">
        <v>78</v>
      </c>
      <c r="D26" s="1" t="s">
        <v>100</v>
      </c>
      <c r="E26" s="1" t="s">
        <v>202</v>
      </c>
      <c r="F26" s="1" t="s">
        <v>203</v>
      </c>
      <c r="G26" s="1" t="s">
        <v>204</v>
      </c>
      <c r="H26" s="1" t="s">
        <v>204</v>
      </c>
      <c r="I26" s="6" t="s">
        <v>85</v>
      </c>
      <c r="J26" s="1" t="s">
        <v>40</v>
      </c>
      <c r="K26" s="1" t="s">
        <v>12</v>
      </c>
      <c r="L26" s="1"/>
    </row>
    <row r="27" spans="1:12" ht="51" customHeight="1" x14ac:dyDescent="0.25">
      <c r="A27" s="1" t="s">
        <v>205</v>
      </c>
      <c r="B27" s="1" t="s">
        <v>82</v>
      </c>
      <c r="C27" s="1" t="s">
        <v>81</v>
      </c>
      <c r="D27" s="1" t="s">
        <v>206</v>
      </c>
      <c r="E27" s="1" t="s">
        <v>207</v>
      </c>
      <c r="F27" s="1" t="s">
        <v>208</v>
      </c>
      <c r="G27" s="1" t="s">
        <v>209</v>
      </c>
      <c r="H27" s="1" t="s">
        <v>209</v>
      </c>
      <c r="I27" s="6" t="s">
        <v>85</v>
      </c>
      <c r="J27" s="1" t="s">
        <v>32</v>
      </c>
      <c r="K27" s="1" t="s">
        <v>12</v>
      </c>
      <c r="L27" s="1"/>
    </row>
    <row r="28" spans="1:12" ht="51" customHeight="1" x14ac:dyDescent="0.25">
      <c r="A28" s="1" t="s">
        <v>210</v>
      </c>
      <c r="B28" s="1" t="s">
        <v>82</v>
      </c>
      <c r="C28" s="1" t="s">
        <v>81</v>
      </c>
      <c r="D28" s="1" t="s">
        <v>211</v>
      </c>
      <c r="E28" s="1" t="s">
        <v>212</v>
      </c>
      <c r="F28" s="1" t="s">
        <v>213</v>
      </c>
      <c r="G28" s="1" t="s">
        <v>214</v>
      </c>
      <c r="H28" s="1" t="s">
        <v>214</v>
      </c>
      <c r="I28" s="6" t="s">
        <v>85</v>
      </c>
      <c r="J28" s="1" t="s">
        <v>40</v>
      </c>
      <c r="K28" s="1" t="s">
        <v>12</v>
      </c>
      <c r="L28" s="1"/>
    </row>
    <row r="29" spans="1:12" ht="51" customHeight="1" x14ac:dyDescent="0.25">
      <c r="A29" s="1" t="s">
        <v>215</v>
      </c>
      <c r="B29" s="1" t="s">
        <v>82</v>
      </c>
      <c r="C29" s="1" t="s">
        <v>81</v>
      </c>
      <c r="D29" s="1" t="s">
        <v>216</v>
      </c>
      <c r="E29" s="1" t="s">
        <v>217</v>
      </c>
      <c r="F29" s="1" t="s">
        <v>218</v>
      </c>
      <c r="G29" s="1" t="s">
        <v>219</v>
      </c>
      <c r="H29" s="1" t="s">
        <v>219</v>
      </c>
      <c r="I29" s="6" t="s">
        <v>85</v>
      </c>
      <c r="J29" s="1" t="s">
        <v>40</v>
      </c>
      <c r="K29" s="1" t="s">
        <v>12</v>
      </c>
      <c r="L29" s="1"/>
    </row>
    <row r="30" spans="1:12" ht="51" customHeight="1" x14ac:dyDescent="0.25">
      <c r="A30" s="1" t="s">
        <v>220</v>
      </c>
      <c r="B30" s="1" t="s">
        <v>67</v>
      </c>
      <c r="C30" s="1" t="s">
        <v>66</v>
      </c>
      <c r="D30" s="1" t="s">
        <v>221</v>
      </c>
      <c r="E30" s="1" t="s">
        <v>222</v>
      </c>
      <c r="F30" s="1" t="s">
        <v>223</v>
      </c>
      <c r="G30" s="1" t="s">
        <v>224</v>
      </c>
      <c r="H30" s="1" t="s">
        <v>224</v>
      </c>
      <c r="I30" s="6" t="s">
        <v>85</v>
      </c>
      <c r="J30" s="1" t="s">
        <v>40</v>
      </c>
      <c r="K30" s="1" t="s">
        <v>12</v>
      </c>
      <c r="L30" s="1"/>
    </row>
    <row r="31" spans="1:12" ht="51" customHeight="1" x14ac:dyDescent="0.25">
      <c r="A31" s="1" t="s">
        <v>225</v>
      </c>
      <c r="B31" s="1" t="s">
        <v>67</v>
      </c>
      <c r="C31" s="1" t="s">
        <v>66</v>
      </c>
      <c r="D31" s="1" t="s">
        <v>226</v>
      </c>
      <c r="E31" s="1" t="s">
        <v>227</v>
      </c>
      <c r="F31" s="1" t="s">
        <v>110</v>
      </c>
      <c r="G31" s="1" t="s">
        <v>228</v>
      </c>
      <c r="H31" s="1" t="s">
        <v>228</v>
      </c>
      <c r="I31" s="6" t="s">
        <v>85</v>
      </c>
      <c r="J31" s="1" t="s">
        <v>40</v>
      </c>
      <c r="K31" s="1" t="s">
        <v>12</v>
      </c>
      <c r="L31" s="1"/>
    </row>
    <row r="32" spans="1:12" ht="51" customHeight="1" x14ac:dyDescent="0.25">
      <c r="A32" s="1" t="s">
        <v>229</v>
      </c>
      <c r="B32" s="1" t="s">
        <v>71</v>
      </c>
      <c r="C32" s="1" t="s">
        <v>70</v>
      </c>
      <c r="D32" s="1" t="s">
        <v>230</v>
      </c>
      <c r="E32" s="1" t="s">
        <v>231</v>
      </c>
      <c r="F32" s="1" t="s">
        <v>232</v>
      </c>
      <c r="G32" s="1" t="s">
        <v>233</v>
      </c>
      <c r="H32" s="1" t="s">
        <v>233</v>
      </c>
      <c r="I32" s="6" t="s">
        <v>85</v>
      </c>
      <c r="J32" s="1" t="s">
        <v>40</v>
      </c>
      <c r="K32" s="1" t="s">
        <v>12</v>
      </c>
      <c r="L32" s="1"/>
    </row>
    <row r="33" spans="1:12" ht="51" customHeight="1" x14ac:dyDescent="0.25">
      <c r="A33" s="1" t="s">
        <v>234</v>
      </c>
      <c r="B33" s="1" t="s">
        <v>71</v>
      </c>
      <c r="C33" s="1" t="s">
        <v>70</v>
      </c>
      <c r="D33" s="1" t="s">
        <v>230</v>
      </c>
      <c r="E33" s="1" t="s">
        <v>235</v>
      </c>
      <c r="F33" s="1" t="s">
        <v>236</v>
      </c>
      <c r="G33" s="1" t="s">
        <v>237</v>
      </c>
      <c r="H33" s="1" t="s">
        <v>237</v>
      </c>
      <c r="I33" s="6" t="s">
        <v>85</v>
      </c>
      <c r="J33" s="1" t="s">
        <v>40</v>
      </c>
      <c r="K33" s="1" t="s">
        <v>12</v>
      </c>
      <c r="L33" s="1"/>
    </row>
    <row r="34" spans="1:12" ht="51" customHeight="1" x14ac:dyDescent="0.25">
      <c r="A34" s="1" t="s">
        <v>238</v>
      </c>
      <c r="B34" s="1" t="s">
        <v>71</v>
      </c>
      <c r="C34" s="1" t="s">
        <v>70</v>
      </c>
      <c r="D34" s="1" t="s">
        <v>239</v>
      </c>
      <c r="E34" s="1" t="s">
        <v>240</v>
      </c>
      <c r="F34" s="1" t="s">
        <v>241</v>
      </c>
      <c r="G34" s="1" t="s">
        <v>242</v>
      </c>
      <c r="H34" s="1" t="s">
        <v>242</v>
      </c>
      <c r="I34" s="6" t="s">
        <v>85</v>
      </c>
      <c r="J34" s="1" t="s">
        <v>40</v>
      </c>
      <c r="K34" s="1" t="s">
        <v>12</v>
      </c>
      <c r="L34" s="1"/>
    </row>
  </sheetData>
  <dataValidations count="1">
    <dataValidation type="list" allowBlank="1" showInputMessage="1" showErrorMessage="1" sqref="I3:I34" xr:uid="{00000000-0002-0000-0300-000000000000}">
      <formula1>StatusOptions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2"/>
  <sheetViews>
    <sheetView showGridLines="0" workbookViewId="0">
      <selection activeCell="I28" sqref="I28"/>
    </sheetView>
  </sheetViews>
  <sheetFormatPr defaultRowHeight="13.8" x14ac:dyDescent="0.25"/>
  <cols>
    <col min="1" max="1" width="7" bestFit="1" customWidth="1"/>
    <col min="2" max="2" width="8" bestFit="1" customWidth="1"/>
    <col min="3" max="3" width="5" bestFit="1" customWidth="1"/>
    <col min="4" max="4" width="7.8984375" bestFit="1" customWidth="1"/>
    <col min="5" max="5" width="8.69921875" bestFit="1" customWidth="1"/>
    <col min="6" max="6" width="6.69921875" bestFit="1" customWidth="1"/>
    <col min="7" max="7" width="8.296875" bestFit="1" customWidth="1"/>
    <col min="8" max="8" width="8.3984375" bestFit="1" customWidth="1"/>
    <col min="9" max="9" width="7.59765625" bestFit="1" customWidth="1"/>
    <col min="10" max="10" width="6.59765625" bestFit="1" customWidth="1"/>
    <col min="11" max="11" width="8.3984375" bestFit="1" customWidth="1"/>
  </cols>
  <sheetData>
    <row r="1" spans="1:11" ht="25.5" customHeight="1" x14ac:dyDescent="0.25">
      <c r="A1" s="5" t="s">
        <v>243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38.25" customHeight="1" x14ac:dyDescent="0.25">
      <c r="A2" s="5" t="s">
        <v>244</v>
      </c>
      <c r="B2" s="5" t="s">
        <v>245</v>
      </c>
      <c r="C2" s="5" t="s">
        <v>246</v>
      </c>
      <c r="D2" s="5" t="s">
        <v>247</v>
      </c>
      <c r="E2" s="5" t="s">
        <v>248</v>
      </c>
      <c r="F2" s="5" t="s">
        <v>95</v>
      </c>
      <c r="G2" s="5" t="s">
        <v>94</v>
      </c>
      <c r="H2" s="5" t="s">
        <v>249</v>
      </c>
      <c r="I2" s="5" t="s">
        <v>27</v>
      </c>
      <c r="J2" s="5" t="s">
        <v>96</v>
      </c>
      <c r="K2" s="5" t="s">
        <v>250</v>
      </c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showGridLines="0" workbookViewId="0">
      <selection activeCell="A9" sqref="A9"/>
    </sheetView>
  </sheetViews>
  <sheetFormatPr defaultColWidth="9.09765625" defaultRowHeight="13.8" x14ac:dyDescent="0.25"/>
  <cols>
    <col min="1" max="1" width="17.09765625" customWidth="1"/>
    <col min="2" max="2" width="24.3984375" customWidth="1"/>
    <col min="3" max="3" width="9.09765625" customWidth="1"/>
  </cols>
  <sheetData>
    <row r="1" spans="1:2" ht="38.25" customHeight="1" x14ac:dyDescent="0.25">
      <c r="A1" s="5" t="s">
        <v>251</v>
      </c>
      <c r="B1" s="5"/>
    </row>
    <row r="2" spans="1:2" x14ac:dyDescent="0.25">
      <c r="A2" s="5" t="s">
        <v>252</v>
      </c>
      <c r="B2" s="5" t="s">
        <v>253</v>
      </c>
    </row>
    <row r="3" spans="1:2" ht="25.5" customHeight="1" x14ac:dyDescent="0.25">
      <c r="A3" s="1" t="s">
        <v>254</v>
      </c>
      <c r="B3" s="1">
        <v>32</v>
      </c>
    </row>
    <row r="4" spans="1:2" x14ac:dyDescent="0.25">
      <c r="A4" s="1" t="s">
        <v>85</v>
      </c>
      <c r="B4" s="1">
        <f>COUNTIF('Test Cases'!I3:I34,"Pass")</f>
        <v>32</v>
      </c>
    </row>
    <row r="5" spans="1:2" x14ac:dyDescent="0.25">
      <c r="A5" s="1" t="s">
        <v>86</v>
      </c>
      <c r="B5" s="1">
        <f>COUNTIF('Test Cases'!I3:I34,"Fail")</f>
        <v>0</v>
      </c>
    </row>
    <row r="6" spans="1:2" x14ac:dyDescent="0.25">
      <c r="A6" s="1" t="s">
        <v>87</v>
      </c>
      <c r="B6" s="1">
        <f>COUNTIF('Test Cases'!I3:I34,"Blocked")</f>
        <v>0</v>
      </c>
    </row>
    <row r="7" spans="1:2" x14ac:dyDescent="0.25">
      <c r="A7" s="1" t="s">
        <v>88</v>
      </c>
      <c r="B7" s="1">
        <f>COUNTIF('Test Cases'!I3:I34,"Not Run")</f>
        <v>0</v>
      </c>
    </row>
    <row r="8" spans="1:2" x14ac:dyDescent="0.25">
      <c r="A8" s="1" t="s">
        <v>255</v>
      </c>
      <c r="B8" s="3">
        <f>IF(B3=0,"",B4/B3)</f>
        <v>1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README</vt:lpstr>
      <vt:lpstr>Test Scenarios</vt:lpstr>
      <vt:lpstr>Test Cases</vt:lpstr>
      <vt:lpstr>Bug Report</vt:lpstr>
      <vt:lpstr>Summary</vt:lpstr>
      <vt:lpstr>StatusOptions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aluiii</dc:creator>
  <cp:lastModifiedBy>Đàm Phạm Tiến</cp:lastModifiedBy>
  <dcterms:created xsi:type="dcterms:W3CDTF">2026-06-01T16:14:25Z</dcterms:created>
  <dcterms:modified xsi:type="dcterms:W3CDTF">2026-06-05T02:12:42Z</dcterms:modified>
</cp:coreProperties>
</file>