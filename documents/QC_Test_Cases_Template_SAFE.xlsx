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VOP\"/>
    </mc:Choice>
  </mc:AlternateContent>
  <xr:revisionPtr revIDLastSave="0" documentId="13_ncr:1_{FECE0486-CF28-41C1-BD50-B2978480C4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Test Scenarios" sheetId="2" r:id="rId2"/>
    <sheet name="Test Cases" sheetId="3" r:id="rId3"/>
    <sheet name="Bug Report" sheetId="4" r:id="rId4"/>
    <sheet name="Summary" sheetId="5" r:id="rId5"/>
  </sheets>
  <definedNames>
    <definedName name="_xlnm._FilterDatabase" localSheetId="3" hidden="1">'Bug Report'!$A$2:$K$98</definedName>
    <definedName name="_xlnm._FilterDatabase" localSheetId="2" hidden="1">'Test Cases'!$A$2:$L$158</definedName>
    <definedName name="_xlnm._FilterDatabase" localSheetId="1" hidden="1">'Test Scenarios'!$A$2:$E$78</definedName>
  </definedNames>
  <calcPr calcId="191029"/>
</workbook>
</file>

<file path=xl/calcChain.xml><?xml version="1.0" encoding="utf-8"?>
<calcChain xmlns="http://schemas.openxmlformats.org/spreadsheetml/2006/main">
  <c r="B7" i="5" l="1"/>
  <c r="B6" i="5"/>
  <c r="B5" i="5"/>
  <c r="B4" i="5"/>
  <c r="B3" i="5"/>
  <c r="B8" i="5" l="1"/>
</calcChain>
</file>

<file path=xl/sharedStrings.xml><?xml version="1.0" encoding="utf-8"?>
<sst xmlns="http://schemas.openxmlformats.org/spreadsheetml/2006/main" count="84" uniqueCount="63">
  <si>
    <t>QC Test Cases Workbook</t>
  </si>
  <si>
    <t>Cách dùng</t>
  </si>
  <si>
    <t>1. Điền thông tin website ở sheet README.</t>
  </si>
  <si>
    <t>2. Liệt kê kịch bản ở sheet Test Scenarios.</t>
  </si>
  <si>
    <t>3. Viết test case chi tiết ở sheet Test Cases.</t>
  </si>
  <si>
    <t>4. Sau khi test, cập nhật Actual Result và Status.</t>
  </si>
  <si>
    <t>5. Nếu Status = Fail, ghi lỗi ở sheet Bug Report.</t>
  </si>
  <si>
    <t>Website</t>
  </si>
  <si>
    <t>Người thực hiện</t>
  </si>
  <si>
    <t>Ngày lập</t>
  </si>
  <si>
    <t>Test Scenarios</t>
  </si>
  <si>
    <t>Scenario ID</t>
  </si>
  <si>
    <t>Function</t>
  </si>
  <si>
    <t>Test Scenario</t>
  </si>
  <si>
    <t>Priority</t>
  </si>
  <si>
    <t>Requirement/Note</t>
  </si>
  <si>
    <t>TS_LOGIN_001</t>
  </si>
  <si>
    <t>Login</t>
  </si>
  <si>
    <t>Kiểm tra đăng nhập thành công</t>
  </si>
  <si>
    <t>High</t>
  </si>
  <si>
    <t>User đã có tài khoản hợp lệ</t>
  </si>
  <si>
    <t>TS_LOGIN_002</t>
  </si>
  <si>
    <t>Test Cases</t>
  </si>
  <si>
    <t>Test Case ID</t>
  </si>
  <si>
    <t>Preconditions</t>
  </si>
  <si>
    <t>Test Steps</t>
  </si>
  <si>
    <t>Test Data</t>
  </si>
  <si>
    <t>Expected Result</t>
  </si>
  <si>
    <t>Actual Result</t>
  </si>
  <si>
    <t>Status</t>
  </si>
  <si>
    <t>Tester</t>
  </si>
  <si>
    <t>Note</t>
  </si>
  <si>
    <t>TC_LOGIN_001</t>
  </si>
  <si>
    <t>1. Mở trang Login
2. Nhập email
3. Nhập password
4. Click Login</t>
  </si>
  <si>
    <t>email/password hợp lệ</t>
  </si>
  <si>
    <t>User đăng nhập thành công và chuyển đến trang chính</t>
  </si>
  <si>
    <t>Not Run</t>
  </si>
  <si>
    <t>Bug Report</t>
  </si>
  <si>
    <t>Bug ID</t>
  </si>
  <si>
    <t>Related TC ID</t>
  </si>
  <si>
    <t>Title</t>
  </si>
  <si>
    <t>Environment</t>
  </si>
  <si>
    <t>Steps to Reproduce</t>
  </si>
  <si>
    <t>Severity</t>
  </si>
  <si>
    <t>Attachment</t>
  </si>
  <si>
    <t>Test Summary</t>
  </si>
  <si>
    <t>Metric</t>
  </si>
  <si>
    <t>Value</t>
  </si>
  <si>
    <t>Total Test Cases</t>
  </si>
  <si>
    <t>Pass</t>
  </si>
  <si>
    <t>Fail</t>
  </si>
  <si>
    <t>Blocked</t>
  </si>
  <si>
    <t>Pass Rate</t>
  </si>
  <si>
    <t>Đàm Phạm Tiến</t>
  </si>
  <si>
    <t>TC_LOGIN_002</t>
  </si>
  <si>
    <t xml:space="preserve">Kiểm tra đăng nhập thất bại khi nhập sai mật khẩu </t>
  </si>
  <si>
    <t>email/password sai</t>
  </si>
  <si>
    <t xml:space="preserve">User đăng nhập không thành công </t>
  </si>
  <si>
    <t>Thông báo tài khoản hoặc mật khẩu không hợp lệ</t>
  </si>
  <si>
    <t>Hiển thị thông báo lỗi</t>
  </si>
  <si>
    <t>Student Attendance System</t>
  </si>
  <si>
    <t>Link Website</t>
  </si>
  <si>
    <t>https://sasdau.vercel.app/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</si>
</sst>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name val="Times New Roman"/>
      <family val="1"/>
      <scheme val="major"/>
    </font>
    <font>
      <b/>
      <sz val="18"/>
      <color rgb="FF0B2545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sz val="11"/>
      <color rgb="FF1F4D78"/>
      <name val="Times New Roman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E8EEF5"/>
      </patternFill>
    </fill>
    <fill>
      <patternFill patternType="solid">
        <fgColor rgb="FFF4F6F9"/>
      </patternFill>
    </fill>
  </fills>
  <borders count="7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14" fontId="1" fillId="0" borderId="3" xfId="0" applyNumberFormat="1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0"/>
  <sheetViews>
    <sheetView showGridLines="0" workbookViewId="0">
      <selection sqref="A1:B1"/>
    </sheetView>
  </sheetViews>
  <sheetFormatPr defaultRowHeight="13.8" x14ac:dyDescent="0.25"/>
  <cols>
    <col min="1" max="1" width="22" style="3" customWidth="1"/>
    <col min="2" max="2" width="95" style="3" customWidth="1"/>
    <col min="3" max="16384" width="8.796875" style="3"/>
  </cols>
  <sheetData>
    <row r="1" spans="1:2" ht="22.8" customHeight="1" x14ac:dyDescent="0.25">
      <c r="A1" s="15" t="s">
        <v>0</v>
      </c>
      <c r="B1" s="15"/>
    </row>
    <row r="2" spans="1:2" x14ac:dyDescent="0.25">
      <c r="A2" s="10" t="s">
        <v>1</v>
      </c>
      <c r="B2" s="13" t="s">
        <v>2</v>
      </c>
    </row>
    <row r="3" spans="1:2" x14ac:dyDescent="0.25">
      <c r="A3" s="11"/>
      <c r="B3" s="8" t="s">
        <v>3</v>
      </c>
    </row>
    <row r="4" spans="1:2" x14ac:dyDescent="0.25">
      <c r="A4" s="11"/>
      <c r="B4" s="8" t="s">
        <v>4</v>
      </c>
    </row>
    <row r="5" spans="1:2" x14ac:dyDescent="0.25">
      <c r="A5" s="11"/>
      <c r="B5" s="8" t="s">
        <v>5</v>
      </c>
    </row>
    <row r="6" spans="1:2" x14ac:dyDescent="0.25">
      <c r="A6" s="12"/>
      <c r="B6" s="8" t="s">
        <v>6</v>
      </c>
    </row>
    <row r="7" spans="1:2" x14ac:dyDescent="0.25">
      <c r="A7" s="7" t="s">
        <v>7</v>
      </c>
      <c r="B7" s="8" t="s">
        <v>60</v>
      </c>
    </row>
    <row r="8" spans="1:2" x14ac:dyDescent="0.25">
      <c r="A8" s="7" t="s">
        <v>61</v>
      </c>
      <c r="B8" s="8" t="s">
        <v>62</v>
      </c>
    </row>
    <row r="9" spans="1:2" x14ac:dyDescent="0.25">
      <c r="A9" s="7" t="s">
        <v>8</v>
      </c>
      <c r="B9" s="8" t="s">
        <v>53</v>
      </c>
    </row>
    <row r="10" spans="1:2" x14ac:dyDescent="0.25">
      <c r="A10" s="7" t="s">
        <v>9</v>
      </c>
      <c r="B10" s="9">
        <v>46168</v>
      </c>
    </row>
  </sheetData>
  <mergeCells count="2">
    <mergeCell ref="A1:B1"/>
    <mergeCell ref="A2:A6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8"/>
  <sheetViews>
    <sheetView showGridLines="0" tabSelected="1" workbookViewId="0">
      <pane ySplit="2" topLeftCell="A3" activePane="bottomLeft" state="frozen"/>
      <selection pane="bottomLeft" activeCell="A24" sqref="A24"/>
    </sheetView>
  </sheetViews>
  <sheetFormatPr defaultRowHeight="13.8" x14ac:dyDescent="0.25"/>
  <cols>
    <col min="1" max="1" width="18" style="3" customWidth="1"/>
    <col min="2" max="2" width="20" style="3" customWidth="1"/>
    <col min="3" max="3" width="45" style="3" customWidth="1"/>
    <col min="4" max="4" width="14" style="3" customWidth="1"/>
    <col min="5" max="5" width="45" style="3" customWidth="1"/>
    <col min="6" max="16384" width="8.796875" style="3"/>
  </cols>
  <sheetData>
    <row r="1" spans="1:5" ht="22.8" x14ac:dyDescent="0.4">
      <c r="A1" s="14" t="s">
        <v>10</v>
      </c>
      <c r="B1" s="14"/>
      <c r="C1" s="14"/>
      <c r="D1" s="14"/>
      <c r="E1" s="14"/>
    </row>
    <row r="2" spans="1:5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</row>
    <row r="3" spans="1:5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</row>
    <row r="4" spans="1:5" x14ac:dyDescent="0.25">
      <c r="A4" s="1" t="s">
        <v>21</v>
      </c>
      <c r="B4" s="1" t="s">
        <v>17</v>
      </c>
      <c r="C4" s="1" t="s">
        <v>55</v>
      </c>
      <c r="D4" s="1" t="s">
        <v>19</v>
      </c>
      <c r="E4" s="1" t="s">
        <v>59</v>
      </c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  <row r="21" spans="1:5" x14ac:dyDescent="0.25">
      <c r="A21" s="1"/>
      <c r="B21" s="1"/>
      <c r="C21" s="1"/>
      <c r="D21" s="1"/>
      <c r="E21" s="1"/>
    </row>
    <row r="22" spans="1:5" x14ac:dyDescent="0.25">
      <c r="A22" s="1"/>
      <c r="B22" s="1"/>
      <c r="C22" s="1"/>
      <c r="D22" s="1"/>
      <c r="E22" s="1"/>
    </row>
    <row r="23" spans="1:5" x14ac:dyDescent="0.25">
      <c r="A23" s="1"/>
      <c r="B23" s="1"/>
      <c r="C23" s="1"/>
      <c r="D23" s="1"/>
      <c r="E23" s="1"/>
    </row>
    <row r="24" spans="1:5" x14ac:dyDescent="0.25">
      <c r="A24" s="1"/>
      <c r="B24" s="1"/>
      <c r="C24" s="1"/>
      <c r="D24" s="1"/>
      <c r="E24" s="1"/>
    </row>
    <row r="25" spans="1:5" x14ac:dyDescent="0.25">
      <c r="A25" s="1"/>
      <c r="B25" s="1"/>
      <c r="C25" s="1"/>
      <c r="D25" s="1"/>
      <c r="E25" s="1"/>
    </row>
    <row r="26" spans="1:5" x14ac:dyDescent="0.25">
      <c r="A26" s="1"/>
      <c r="B26" s="1"/>
      <c r="C26" s="1"/>
      <c r="D26" s="1"/>
      <c r="E26" s="1"/>
    </row>
    <row r="27" spans="1:5" x14ac:dyDescent="0.25">
      <c r="A27" s="1"/>
      <c r="B27" s="1"/>
      <c r="C27" s="1"/>
      <c r="D27" s="1"/>
      <c r="E27" s="1"/>
    </row>
    <row r="28" spans="1:5" x14ac:dyDescent="0.25">
      <c r="A28" s="1"/>
      <c r="B28" s="1"/>
      <c r="C28" s="1"/>
      <c r="D28" s="1"/>
      <c r="E28" s="1"/>
    </row>
    <row r="29" spans="1:5" x14ac:dyDescent="0.25">
      <c r="A29" s="1"/>
      <c r="B29" s="1"/>
      <c r="C29" s="1"/>
      <c r="D29" s="1"/>
      <c r="E29" s="1"/>
    </row>
    <row r="30" spans="1:5" x14ac:dyDescent="0.25">
      <c r="A30" s="1"/>
      <c r="B30" s="1"/>
      <c r="C30" s="1"/>
      <c r="D30" s="1"/>
      <c r="E30" s="1"/>
    </row>
    <row r="31" spans="1:5" x14ac:dyDescent="0.25">
      <c r="A31" s="1"/>
      <c r="B31" s="1"/>
      <c r="C31" s="1"/>
      <c r="D31" s="1"/>
      <c r="E31" s="1"/>
    </row>
    <row r="32" spans="1:5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1"/>
      <c r="B36" s="1"/>
      <c r="C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C38" s="1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  <row r="46" spans="1:5" x14ac:dyDescent="0.25">
      <c r="A46" s="1"/>
      <c r="B46" s="1"/>
      <c r="C46" s="1"/>
      <c r="D46" s="1"/>
      <c r="E46" s="1"/>
    </row>
    <row r="47" spans="1:5" x14ac:dyDescent="0.25">
      <c r="A47" s="1"/>
      <c r="B47" s="1"/>
      <c r="C47" s="1"/>
      <c r="D47" s="1"/>
      <c r="E47" s="1"/>
    </row>
    <row r="48" spans="1:5" x14ac:dyDescent="0.25">
      <c r="A48" s="1"/>
      <c r="B48" s="1"/>
      <c r="C48" s="1"/>
      <c r="D48" s="1"/>
      <c r="E48" s="1"/>
    </row>
    <row r="49" spans="1:5" x14ac:dyDescent="0.25">
      <c r="A49" s="1"/>
      <c r="B49" s="1"/>
      <c r="C49" s="1"/>
      <c r="D49" s="1"/>
      <c r="E49" s="1"/>
    </row>
    <row r="50" spans="1:5" x14ac:dyDescent="0.25">
      <c r="A50" s="1"/>
      <c r="B50" s="1"/>
      <c r="C50" s="1"/>
      <c r="D50" s="1"/>
      <c r="E50" s="1"/>
    </row>
    <row r="51" spans="1:5" x14ac:dyDescent="0.25">
      <c r="A51" s="1"/>
      <c r="B51" s="1"/>
      <c r="C51" s="1"/>
      <c r="D51" s="1"/>
      <c r="E51" s="1"/>
    </row>
    <row r="52" spans="1:5" x14ac:dyDescent="0.25">
      <c r="A52" s="1"/>
      <c r="B52" s="1"/>
      <c r="C52" s="1"/>
      <c r="D52" s="1"/>
      <c r="E52" s="1"/>
    </row>
    <row r="53" spans="1:5" x14ac:dyDescent="0.25">
      <c r="A53" s="1"/>
      <c r="B53" s="1"/>
      <c r="C53" s="1"/>
      <c r="D53" s="1"/>
      <c r="E53" s="1"/>
    </row>
    <row r="54" spans="1:5" x14ac:dyDescent="0.25">
      <c r="A54" s="1"/>
      <c r="B54" s="1"/>
      <c r="C54" s="1"/>
      <c r="D54" s="1"/>
      <c r="E54" s="1"/>
    </row>
    <row r="55" spans="1:5" x14ac:dyDescent="0.25">
      <c r="A55" s="1"/>
      <c r="B55" s="1"/>
      <c r="C55" s="1"/>
      <c r="D55" s="1"/>
      <c r="E55" s="1"/>
    </row>
    <row r="56" spans="1:5" x14ac:dyDescent="0.25">
      <c r="A56" s="1"/>
      <c r="B56" s="1"/>
      <c r="C56" s="1"/>
      <c r="D56" s="1"/>
      <c r="E56" s="1"/>
    </row>
    <row r="57" spans="1:5" x14ac:dyDescent="0.25">
      <c r="A57" s="1"/>
      <c r="B57" s="1"/>
      <c r="C57" s="1"/>
      <c r="D57" s="1"/>
      <c r="E57" s="1"/>
    </row>
    <row r="58" spans="1:5" x14ac:dyDescent="0.25">
      <c r="A58" s="1"/>
      <c r="B58" s="1"/>
      <c r="C58" s="1"/>
      <c r="D58" s="1"/>
      <c r="E58" s="1"/>
    </row>
    <row r="59" spans="1:5" x14ac:dyDescent="0.25">
      <c r="A59" s="1"/>
      <c r="B59" s="1"/>
      <c r="C59" s="1"/>
      <c r="D59" s="1"/>
      <c r="E59" s="1"/>
    </row>
    <row r="60" spans="1:5" x14ac:dyDescent="0.25">
      <c r="A60" s="1"/>
      <c r="B60" s="1"/>
      <c r="C60" s="1"/>
      <c r="D60" s="1"/>
      <c r="E60" s="1"/>
    </row>
    <row r="61" spans="1:5" x14ac:dyDescent="0.25">
      <c r="A61" s="1"/>
      <c r="B61" s="1"/>
      <c r="C61" s="1"/>
      <c r="D61" s="1"/>
      <c r="E61" s="1"/>
    </row>
    <row r="62" spans="1:5" x14ac:dyDescent="0.25">
      <c r="A62" s="1"/>
      <c r="B62" s="1"/>
      <c r="C62" s="1"/>
      <c r="D62" s="1"/>
      <c r="E62" s="1"/>
    </row>
    <row r="63" spans="1:5" x14ac:dyDescent="0.25">
      <c r="A63" s="1"/>
      <c r="B63" s="1"/>
      <c r="C63" s="1"/>
      <c r="D63" s="1"/>
      <c r="E63" s="1"/>
    </row>
    <row r="64" spans="1:5" x14ac:dyDescent="0.25">
      <c r="A64" s="1"/>
      <c r="B64" s="1"/>
      <c r="C64" s="1"/>
      <c r="D64" s="1"/>
      <c r="E64" s="1"/>
    </row>
    <row r="65" spans="1:5" x14ac:dyDescent="0.25">
      <c r="A65" s="1"/>
      <c r="B65" s="1"/>
      <c r="C65" s="1"/>
      <c r="D65" s="1"/>
      <c r="E65" s="1"/>
    </row>
    <row r="66" spans="1:5" x14ac:dyDescent="0.25">
      <c r="A66" s="1"/>
      <c r="B66" s="1"/>
      <c r="C66" s="1"/>
      <c r="D66" s="1"/>
      <c r="E66" s="1"/>
    </row>
    <row r="67" spans="1:5" x14ac:dyDescent="0.25">
      <c r="A67" s="1"/>
      <c r="B67" s="1"/>
      <c r="C67" s="1"/>
      <c r="D67" s="1"/>
      <c r="E67" s="1"/>
    </row>
    <row r="68" spans="1:5" x14ac:dyDescent="0.25">
      <c r="A68" s="1"/>
      <c r="B68" s="1"/>
      <c r="C68" s="1"/>
      <c r="D68" s="1"/>
      <c r="E68" s="1"/>
    </row>
    <row r="69" spans="1:5" x14ac:dyDescent="0.25">
      <c r="A69" s="1"/>
      <c r="B69" s="1"/>
      <c r="C69" s="1"/>
      <c r="D69" s="1"/>
      <c r="E69" s="1"/>
    </row>
    <row r="70" spans="1:5" x14ac:dyDescent="0.25">
      <c r="A70" s="1"/>
      <c r="B70" s="1"/>
      <c r="C70" s="1"/>
      <c r="D70" s="1"/>
      <c r="E70" s="1"/>
    </row>
    <row r="71" spans="1:5" x14ac:dyDescent="0.25">
      <c r="A71" s="1"/>
      <c r="B71" s="1"/>
      <c r="C71" s="1"/>
      <c r="D71" s="1"/>
      <c r="E71" s="1"/>
    </row>
    <row r="72" spans="1:5" x14ac:dyDescent="0.25">
      <c r="A72" s="1"/>
      <c r="B72" s="1"/>
      <c r="C72" s="1"/>
      <c r="D72" s="1"/>
      <c r="E72" s="1"/>
    </row>
    <row r="73" spans="1:5" x14ac:dyDescent="0.25">
      <c r="A73" s="1"/>
      <c r="B73" s="1"/>
      <c r="C73" s="1"/>
      <c r="D73" s="1"/>
      <c r="E73" s="1"/>
    </row>
    <row r="74" spans="1:5" x14ac:dyDescent="0.25">
      <c r="A74" s="1"/>
      <c r="B74" s="1"/>
      <c r="C74" s="1"/>
      <c r="D74" s="1"/>
      <c r="E74" s="1"/>
    </row>
    <row r="75" spans="1:5" x14ac:dyDescent="0.25">
      <c r="A75" s="1"/>
      <c r="B75" s="1"/>
      <c r="C75" s="1"/>
      <c r="D75" s="1"/>
      <c r="E75" s="1"/>
    </row>
    <row r="76" spans="1:5" x14ac:dyDescent="0.25">
      <c r="A76" s="1"/>
      <c r="B76" s="1"/>
      <c r="C76" s="1"/>
      <c r="D76" s="1"/>
      <c r="E76" s="1"/>
    </row>
    <row r="77" spans="1:5" x14ac:dyDescent="0.25">
      <c r="A77" s="1"/>
      <c r="B77" s="1"/>
      <c r="C77" s="1"/>
      <c r="D77" s="1"/>
      <c r="E77" s="1"/>
    </row>
    <row r="78" spans="1:5" x14ac:dyDescent="0.25">
      <c r="A78" s="1"/>
      <c r="B78" s="1"/>
      <c r="C78" s="1"/>
      <c r="D78" s="1"/>
      <c r="E78" s="1"/>
    </row>
  </sheetData>
  <autoFilter ref="A2:E78" xr:uid="{00000000-0009-0000-0000-000001000000}"/>
  <mergeCells count="1">
    <mergeCell ref="A1:E1"/>
  </mergeCells>
  <dataValidations count="1">
    <dataValidation type="list" allowBlank="1" sqref="D3:D198" xr:uid="{00000000-0002-0000-0100-000000000000}">
      <formula1>"High,Medium,Low"</formula1>
    </dataValidation>
  </dataValidation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58"/>
  <sheetViews>
    <sheetView showGridLines="0" zoomScale="115" zoomScaleNormal="115" workbookViewId="0">
      <pane ySplit="2" topLeftCell="A3" activePane="bottomLeft" state="frozen"/>
      <selection pane="bottomLeft" activeCell="C20" sqref="C20"/>
    </sheetView>
  </sheetViews>
  <sheetFormatPr defaultRowHeight="13.8" x14ac:dyDescent="0.25"/>
  <cols>
    <col min="1" max="1" width="16" style="3" customWidth="1"/>
    <col min="2" max="2" width="18" style="3" customWidth="1"/>
    <col min="3" max="3" width="16" style="3" customWidth="1"/>
    <col min="4" max="4" width="28" style="3" customWidth="1"/>
    <col min="5" max="5" width="19.69921875" style="3" customWidth="1"/>
    <col min="6" max="6" width="18.59765625" style="3" customWidth="1"/>
    <col min="7" max="7" width="27.19921875" style="3" customWidth="1"/>
    <col min="8" max="8" width="24.09765625" style="3" customWidth="1"/>
    <col min="9" max="10" width="14" style="3" customWidth="1"/>
    <col min="11" max="11" width="18" style="3" customWidth="1"/>
    <col min="12" max="12" width="25" style="3" customWidth="1"/>
    <col min="13" max="16384" width="8.796875" style="3"/>
  </cols>
  <sheetData>
    <row r="1" spans="1:12" ht="22.8" x14ac:dyDescent="0.4">
      <c r="A1" s="2" t="s">
        <v>22</v>
      </c>
    </row>
    <row r="2" spans="1:12" x14ac:dyDescent="0.25">
      <c r="A2" s="4" t="s">
        <v>23</v>
      </c>
      <c r="B2" s="4" t="s">
        <v>12</v>
      </c>
      <c r="C2" s="4" t="s">
        <v>11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14</v>
      </c>
      <c r="K2" s="4" t="s">
        <v>30</v>
      </c>
      <c r="L2" s="4" t="s">
        <v>31</v>
      </c>
    </row>
    <row r="3" spans="1:12" ht="55.2" x14ac:dyDescent="0.25">
      <c r="A3" s="1" t="s">
        <v>32</v>
      </c>
      <c r="B3" s="1" t="s">
        <v>17</v>
      </c>
      <c r="C3" s="1" t="s">
        <v>16</v>
      </c>
      <c r="D3" s="1" t="s">
        <v>20</v>
      </c>
      <c r="E3" s="1" t="s">
        <v>33</v>
      </c>
      <c r="F3" s="1" t="s">
        <v>34</v>
      </c>
      <c r="G3" s="1" t="s">
        <v>35</v>
      </c>
      <c r="H3" s="1" t="s">
        <v>35</v>
      </c>
      <c r="I3" s="1" t="s">
        <v>49</v>
      </c>
      <c r="J3" s="1" t="s">
        <v>19</v>
      </c>
      <c r="K3" s="1"/>
      <c r="L3" s="1"/>
    </row>
    <row r="4" spans="1:12" ht="55.2" x14ac:dyDescent="0.25">
      <c r="A4" s="1" t="s">
        <v>54</v>
      </c>
      <c r="B4" s="1" t="s">
        <v>17</v>
      </c>
      <c r="C4" s="1" t="s">
        <v>21</v>
      </c>
      <c r="D4" s="1" t="s">
        <v>20</v>
      </c>
      <c r="E4" s="1" t="s">
        <v>33</v>
      </c>
      <c r="F4" s="1" t="s">
        <v>56</v>
      </c>
      <c r="G4" s="1" t="s">
        <v>57</v>
      </c>
      <c r="H4" s="1" t="s">
        <v>58</v>
      </c>
      <c r="I4" s="1" t="s">
        <v>49</v>
      </c>
      <c r="J4" s="1" t="s">
        <v>19</v>
      </c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</sheetData>
  <autoFilter ref="A2:L158" xr:uid="{00000000-0009-0000-0000-000002000000}"/>
  <dataValidations count="2">
    <dataValidation type="list" allowBlank="1" sqref="I3:I298" xr:uid="{00000000-0002-0000-0200-000000000000}">
      <formula1>"Not Run,Pass,Fail,Blocked"</formula1>
    </dataValidation>
    <dataValidation type="list" allowBlank="1" sqref="J3:J298" xr:uid="{00000000-0002-0000-0200-000001000000}">
      <formula1>"High,Medium,Low"</formula1>
    </dataValidation>
  </dataValidation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98"/>
  <sheetViews>
    <sheetView showGridLines="0" workbookViewId="0">
      <pane ySplit="2" topLeftCell="A3" activePane="bottomLeft" state="frozen"/>
      <selection pane="bottomLeft" activeCell="C11" sqref="C11"/>
    </sheetView>
  </sheetViews>
  <sheetFormatPr defaultRowHeight="13.8" x14ac:dyDescent="0.25"/>
  <cols>
    <col min="1" max="1" width="14" style="3" customWidth="1"/>
    <col min="2" max="2" width="16" style="3" customWidth="1"/>
    <col min="3" max="3" width="35" style="3" customWidth="1"/>
    <col min="4" max="4" width="25" style="3" customWidth="1"/>
    <col min="5" max="5" width="42" style="3" customWidth="1"/>
    <col min="6" max="7" width="35" style="3" customWidth="1"/>
    <col min="8" max="9" width="14" style="3" customWidth="1"/>
    <col min="10" max="10" width="16" style="3" customWidth="1"/>
    <col min="11" max="11" width="28" style="3" customWidth="1"/>
    <col min="12" max="16384" width="8.796875" style="3"/>
  </cols>
  <sheetData>
    <row r="1" spans="1:11" ht="22.8" x14ac:dyDescent="0.4">
      <c r="A1" s="2" t="s">
        <v>37</v>
      </c>
    </row>
    <row r="2" spans="1:11" x14ac:dyDescent="0.25">
      <c r="A2" s="4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28</v>
      </c>
      <c r="G2" s="4" t="s">
        <v>27</v>
      </c>
      <c r="H2" s="4" t="s">
        <v>43</v>
      </c>
      <c r="I2" s="4" t="s">
        <v>14</v>
      </c>
      <c r="J2" s="4" t="s">
        <v>29</v>
      </c>
      <c r="K2" s="4" t="s">
        <v>44</v>
      </c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</sheetData>
  <autoFilter ref="A2:K98" xr:uid="{00000000-0009-0000-0000-000003000000}"/>
  <dataValidations count="3">
    <dataValidation type="list" allowBlank="1" sqref="H3:H198" xr:uid="{00000000-0002-0000-0300-000000000000}">
      <formula1>"Critical,High,Medium,Low"</formula1>
    </dataValidation>
    <dataValidation type="list" allowBlank="1" sqref="I3:I198" xr:uid="{00000000-0002-0000-0300-000001000000}">
      <formula1>"High,Medium,Low"</formula1>
    </dataValidation>
    <dataValidation type="list" allowBlank="1" sqref="J3:J198" xr:uid="{00000000-0002-0000-0300-000002000000}">
      <formula1>"Open,In Progress,Fixed,Closed,Rejected"</formula1>
    </dataValidation>
  </dataValidation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8"/>
  <sheetViews>
    <sheetView showGridLines="0" workbookViewId="0">
      <selection activeCell="C16" sqref="C16"/>
    </sheetView>
  </sheetViews>
  <sheetFormatPr defaultRowHeight="13.8" x14ac:dyDescent="0.25"/>
  <cols>
    <col min="1" max="1" width="24" style="3" customWidth="1"/>
    <col min="2" max="2" width="18" style="3" customWidth="1"/>
    <col min="3" max="16384" width="8.796875" style="3"/>
  </cols>
  <sheetData>
    <row r="1" spans="1:2" ht="22.8" x14ac:dyDescent="0.4">
      <c r="A1" s="2" t="s">
        <v>45</v>
      </c>
    </row>
    <row r="2" spans="1:2" x14ac:dyDescent="0.25">
      <c r="A2" s="4" t="s">
        <v>46</v>
      </c>
      <c r="B2" s="4" t="s">
        <v>47</v>
      </c>
    </row>
    <row r="3" spans="1:2" x14ac:dyDescent="0.25">
      <c r="A3" s="5" t="s">
        <v>48</v>
      </c>
      <c r="B3" s="1">
        <f>COUNTA('Test Cases'!A3:A298)</f>
        <v>2</v>
      </c>
    </row>
    <row r="4" spans="1:2" x14ac:dyDescent="0.25">
      <c r="A4" s="5" t="s">
        <v>49</v>
      </c>
      <c r="B4" s="1">
        <f>COUNTIF('Test Cases'!I3:I298,"Pass")</f>
        <v>2</v>
      </c>
    </row>
    <row r="5" spans="1:2" x14ac:dyDescent="0.25">
      <c r="A5" s="5" t="s">
        <v>50</v>
      </c>
      <c r="B5" s="1">
        <f>COUNTIF('Test Cases'!I3:I298,"Fail")</f>
        <v>0</v>
      </c>
    </row>
    <row r="6" spans="1:2" x14ac:dyDescent="0.25">
      <c r="A6" s="5" t="s">
        <v>51</v>
      </c>
      <c r="B6" s="1">
        <f>COUNTIF('Test Cases'!I3:I298,"Blocked")</f>
        <v>0</v>
      </c>
    </row>
    <row r="7" spans="1:2" x14ac:dyDescent="0.25">
      <c r="A7" s="5" t="s">
        <v>36</v>
      </c>
      <c r="B7" s="1">
        <f>COUNTIF('Test Cases'!I3:I298,"Not Run")</f>
        <v>0</v>
      </c>
    </row>
    <row r="8" spans="1:2" x14ac:dyDescent="0.25">
      <c r="A8" s="5" t="s">
        <v>52</v>
      </c>
      <c r="B8" s="6">
        <f>IF(B3=0,"",B4/B3)</f>
        <v>1</v>
      </c>
    </row>
  </sheetData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Test Scenarios</vt:lpstr>
      <vt:lpstr>Test Cases</vt:lpstr>
      <vt:lpstr>Bug Report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Đàm Phạm Tiến</cp:lastModifiedBy>
  <dcterms:created xsi:type="dcterms:W3CDTF">2026-05-26T04:13:25Z</dcterms:created>
  <dcterms:modified xsi:type="dcterms:W3CDTF">2026-05-26T04:42:37Z</dcterms:modified>
</cp:coreProperties>
</file>